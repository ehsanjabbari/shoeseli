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8" sheetId="1" r:id="rId4"/>
    <sheet state="visible" name="151" sheetId="2" r:id="rId5"/>
    <sheet state="visible" name="vorodi" sheetId="3" r:id="rId6"/>
  </sheets>
  <definedNames/>
  <calcPr/>
</workbook>
</file>

<file path=xl/sharedStrings.xml><?xml version="1.0" encoding="utf-8"?>
<sst xmlns="http://schemas.openxmlformats.org/spreadsheetml/2006/main" count="73" uniqueCount="62">
  <si>
    <t>موجودی کل</t>
  </si>
  <si>
    <t>4/31</t>
  </si>
  <si>
    <t>6/31</t>
  </si>
  <si>
    <t>جمع فروش روزانه</t>
  </si>
  <si>
    <t>فندی رضا</t>
  </si>
  <si>
    <t>هوتیک سه سگک رضا</t>
  </si>
  <si>
    <t>هرمس تخت رضا</t>
  </si>
  <si>
    <t>زارا جلو بسته رضا</t>
  </si>
  <si>
    <t>دو سگک ویزون رضا</t>
  </si>
  <si>
    <t>استرادیواریوس جلو بسته رضا</t>
  </si>
  <si>
    <t>هرمس رکابدار پیام</t>
  </si>
  <si>
    <t>هرمس چسبی پیام</t>
  </si>
  <si>
    <t>سه بند زارا پیام</t>
  </si>
  <si>
    <t>دو سگک زارا پیام</t>
  </si>
  <si>
    <t>تک سگک پهن پیام</t>
  </si>
  <si>
    <t>دو سگک قفل دار پیام</t>
  </si>
  <si>
    <t>دو سگک زیره کنف پیام</t>
  </si>
  <si>
    <t>کنفی لژ بلند پیام</t>
  </si>
  <si>
    <t>دو سگک منگنه‌ای پیام</t>
  </si>
  <si>
    <t>گیوه گیپوری پوریا</t>
  </si>
  <si>
    <t>دو سگک جلو مربعی پوریا</t>
  </si>
  <si>
    <t>میو میو پوریا</t>
  </si>
  <si>
    <t>صندل جوکر پوریا</t>
  </si>
  <si>
    <t>زارا لژ بزرگ پوریا</t>
  </si>
  <si>
    <t>هرمس دور مچ مصطفی</t>
  </si>
  <si>
    <t>سه چسب مصطفی</t>
  </si>
  <si>
    <t>دوپایی ضربدری مصطفی</t>
  </si>
  <si>
    <t>دمپایی دو چسب مصطفی</t>
  </si>
  <si>
    <t>پاشنه شیشه‌ای</t>
  </si>
  <si>
    <t>پاشنه۵سانت دو سگک</t>
  </si>
  <si>
    <t>پاشنه چوبی هرمس</t>
  </si>
  <si>
    <t>کتونی مکویین</t>
  </si>
  <si>
    <t>ونس یرفا</t>
  </si>
  <si>
    <t>کتونی زارا پوریا</t>
  </si>
  <si>
    <t>کتونی مرواریدی پوریا</t>
  </si>
  <si>
    <t>کتونی سلین پوریا</t>
  </si>
  <si>
    <t>صندل کتونی بالنسیاگا</t>
  </si>
  <si>
    <t>ونس برشکا ساده پیام</t>
  </si>
  <si>
    <t>کتونی نیو بالانس پوریا</t>
  </si>
  <si>
    <t xml:space="preserve">کوک </t>
  </si>
  <si>
    <t>مری جین ۵سانت</t>
  </si>
  <si>
    <t>مری جین ۲سانت</t>
  </si>
  <si>
    <t>نایک y2k</t>
  </si>
  <si>
    <t>سامبا</t>
  </si>
  <si>
    <t>پوما</t>
  </si>
  <si>
    <t>کالج لارا پیانا</t>
  </si>
  <si>
    <t>پاشنه گوچی</t>
  </si>
  <si>
    <t>کتونی تیدا</t>
  </si>
  <si>
    <t>نایک LV</t>
  </si>
  <si>
    <t>جردن ساقدار</t>
  </si>
  <si>
    <t>جردن۱</t>
  </si>
  <si>
    <t>آگ بغل سگک</t>
  </si>
  <si>
    <t>آگ پشت‌کش</t>
  </si>
  <si>
    <t>آگ آبرنگی</t>
  </si>
  <si>
    <t>میومیو</t>
  </si>
  <si>
    <t>زیره شیشه‌ای</t>
  </si>
  <si>
    <t>دکتر مارتین</t>
  </si>
  <si>
    <t>نیم بوت دنیز</t>
  </si>
  <si>
    <t>۲طرف کش سوگو پیام</t>
  </si>
  <si>
    <t>بندی کشی پیام</t>
  </si>
  <si>
    <t>موجودی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</si>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</sst>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2" fillId="3" fontId="1" numFmtId="164" xfId="0" applyAlignment="1" applyBorder="1" applyFill="1" applyFont="1" applyNumberFormat="1">
      <alignment horizontal="center" readingOrder="0"/>
    </xf>
    <xf borderId="2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/>
    </xf>
    <xf borderId="3" fillId="4" fontId="1" numFmtId="0" xfId="0" applyAlignment="1" applyBorder="1" applyFill="1" applyFont="1">
      <alignment horizontal="center" vertical="bottom"/>
    </xf>
    <xf borderId="4" fillId="4" fontId="1" numFmtId="0" xfId="0" applyAlignment="1" applyBorder="1" applyFont="1">
      <alignment horizontal="center" vertical="bottom"/>
    </xf>
    <xf borderId="0" fillId="4" fontId="1" numFmtId="0" xfId="0" applyAlignment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readingOrder="0" vertical="bottom"/>
    </xf>
    <xf borderId="4" fillId="3" fontId="1" numFmtId="0" xfId="0" applyAlignment="1" applyBorder="1" applyFont="1">
      <alignment horizontal="center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5" fontId="1" numFmtId="164" xfId="0" applyAlignment="1" applyBorder="1" applyFill="1" applyFont="1" applyNumberFormat="1">
      <alignment horizontal="center" vertical="bottom"/>
    </xf>
    <xf borderId="2" fillId="5" fontId="1" numFmtId="0" xfId="0" applyAlignment="1" applyBorder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88"/>
    <col customWidth="1" min="2" max="2" width="8.5"/>
    <col customWidth="1" min="3" max="3" width="5.5"/>
    <col customWidth="1" min="4" max="4" width="5.38"/>
    <col customWidth="1" min="5" max="6" width="4.88"/>
    <col customWidth="1" min="7" max="7" width="4.75"/>
    <col customWidth="1" min="8" max="9" width="4.38"/>
    <col customWidth="1" min="10" max="10" width="4.63"/>
    <col customWidth="1" min="11" max="11" width="4.13"/>
    <col customWidth="1" min="12" max="12" width="4.5"/>
    <col customWidth="1" min="13" max="15" width="4.13"/>
    <col customWidth="1" min="16" max="16" width="4.0"/>
    <col customWidth="1" min="17" max="17" width="4.25"/>
    <col customWidth="1" min="18" max="19" width="4.38"/>
    <col customWidth="1" min="20" max="20" width="4.25"/>
    <col customWidth="1" min="21" max="21" width="3.88"/>
    <col customWidth="1" min="22" max="22" width="4.5"/>
    <col customWidth="1" min="23" max="23" width="4.38"/>
    <col customWidth="1" min="24" max="24" width="4.13"/>
    <col customWidth="1" min="25" max="25" width="4.5"/>
    <col customWidth="1" min="26" max="26" width="4.63"/>
    <col customWidth="1" min="27" max="27" width="4.13"/>
    <col customWidth="1" min="28" max="28" width="5.63"/>
    <col customWidth="1" min="29" max="29" width="4.75"/>
    <col customWidth="1" min="30" max="30" width="4.5"/>
    <col customWidth="1" min="31" max="31" width="4.88"/>
    <col customWidth="1" min="32" max="32" width="4.0"/>
    <col customWidth="1" min="33" max="33" width="4.25"/>
    <col customWidth="1" min="34" max="34" width="4.88"/>
    <col customWidth="1" min="35" max="35" width="4.38"/>
    <col customWidth="1" min="36" max="37" width="4.25"/>
    <col customWidth="1" min="38" max="38" width="4.5"/>
    <col customWidth="1" min="39" max="39" width="4.63"/>
    <col customWidth="1" min="40" max="40" width="5.0"/>
    <col customWidth="1" min="41" max="44" width="4.75"/>
    <col customWidth="1" min="45" max="45" width="5.0"/>
    <col customWidth="1" min="46" max="46" width="5.63"/>
    <col customWidth="1" min="47" max="47" width="5.0"/>
    <col customWidth="1" min="48" max="48" width="5.5"/>
    <col customWidth="1" min="49" max="49" width="5.38"/>
    <col customWidth="1" min="50" max="50" width="5.75"/>
    <col customWidth="1" min="51" max="52" width="4.5"/>
    <col customWidth="1" min="53" max="53" width="5.0"/>
    <col customWidth="1" min="54" max="54" width="4.38"/>
    <col customWidth="1" min="55" max="55" width="4.63"/>
    <col customWidth="1" min="56" max="57" width="4.5"/>
    <col customWidth="1" min="58" max="58" width="5.13"/>
    <col customWidth="1" min="59" max="59" width="4.38"/>
    <col customWidth="1" min="60" max="60" width="4.88"/>
    <col customWidth="1" min="61" max="61" width="4.5"/>
    <col customWidth="1" min="62" max="62" width="4.75"/>
    <col customWidth="1" min="63" max="63" width="4.13"/>
    <col customWidth="1" min="64" max="64" width="4.25"/>
    <col customWidth="1" min="65" max="65" width="4.5"/>
    <col customWidth="1" min="66" max="66" width="4.75"/>
    <col customWidth="1" min="67" max="68" width="4.13"/>
    <col customWidth="1" min="69" max="69" width="4.88"/>
    <col customWidth="1" min="70" max="70" width="5.75"/>
    <col customWidth="1" min="71" max="71" width="6.0"/>
    <col customWidth="1" min="72" max="72" width="5.75"/>
    <col customWidth="1" min="73" max="73" width="5.13"/>
    <col customWidth="1" min="74" max="75" width="5.5"/>
    <col customWidth="1" min="76" max="76" width="4.75"/>
    <col customWidth="1" min="77" max="77" width="5.0"/>
    <col customWidth="1" min="78" max="78" width="5.25"/>
    <col customWidth="1" min="79" max="79" width="5.0"/>
    <col customWidth="1" min="80" max="80" width="5.25"/>
    <col customWidth="1" min="81" max="81" width="4.88"/>
    <col customWidth="1" min="82" max="83" width="4.63"/>
    <col customWidth="1" min="84" max="84" width="4.13"/>
    <col customWidth="1" min="85" max="85" width="4.75"/>
    <col customWidth="1" min="86" max="98" width="5.25"/>
    <col customWidth="1" min="99" max="99" width="5.0"/>
  </cols>
  <sheetData>
    <row r="1">
      <c r="A1" s="1">
        <f>C2+'151'!C2</f>
        <v>410</v>
      </c>
      <c r="B1" s="2" t="s">
        <v>0</v>
      </c>
      <c r="C1" s="3">
        <f>SUMPRODUCT(B3:B100,CU3:CU100)</f>
        <v>43091</v>
      </c>
      <c r="D1" s="4">
        <v>45776.0</v>
      </c>
      <c r="E1" s="4">
        <v>45777.0</v>
      </c>
      <c r="F1" s="5" t="s">
        <v>1</v>
      </c>
      <c r="G1" s="4">
        <v>45778.0</v>
      </c>
      <c r="H1" s="4">
        <v>45779.0</v>
      </c>
      <c r="I1" s="4">
        <v>45780.0</v>
      </c>
      <c r="J1" s="4">
        <v>45781.0</v>
      </c>
      <c r="K1" s="4">
        <v>45782.0</v>
      </c>
      <c r="L1" s="4">
        <v>45783.0</v>
      </c>
      <c r="M1" s="4">
        <v>45784.0</v>
      </c>
      <c r="N1" s="4">
        <v>45785.0</v>
      </c>
      <c r="O1" s="4">
        <v>45786.0</v>
      </c>
      <c r="P1" s="4">
        <v>45787.0</v>
      </c>
      <c r="Q1" s="4">
        <v>45788.0</v>
      </c>
      <c r="R1" s="4">
        <v>45789.0</v>
      </c>
      <c r="S1" s="4">
        <v>45790.0</v>
      </c>
      <c r="T1" s="4">
        <v>45791.0</v>
      </c>
      <c r="U1" s="4">
        <v>45792.0</v>
      </c>
      <c r="V1" s="4">
        <v>45793.0</v>
      </c>
      <c r="W1" s="4">
        <v>45794.0</v>
      </c>
      <c r="X1" s="4">
        <v>45795.0</v>
      </c>
      <c r="Y1" s="4">
        <v>45796.0</v>
      </c>
      <c r="Z1" s="4">
        <v>45797.0</v>
      </c>
      <c r="AA1" s="4">
        <v>45798.0</v>
      </c>
      <c r="AB1" s="4">
        <v>45799.0</v>
      </c>
      <c r="AC1" s="4">
        <v>45800.0</v>
      </c>
      <c r="AD1" s="4">
        <v>45801.0</v>
      </c>
      <c r="AE1" s="4">
        <v>45802.0</v>
      </c>
      <c r="AF1" s="4">
        <v>45803.0</v>
      </c>
      <c r="AG1" s="4">
        <v>45804.0</v>
      </c>
      <c r="AH1" s="4">
        <v>45805.0</v>
      </c>
      <c r="AI1" s="4">
        <v>45806.0</v>
      </c>
      <c r="AJ1" s="4">
        <v>45807.0</v>
      </c>
      <c r="AK1" s="4">
        <v>45808.0</v>
      </c>
      <c r="AL1" s="4">
        <v>45809.0</v>
      </c>
      <c r="AM1" s="4">
        <v>45810.0</v>
      </c>
      <c r="AN1" s="4">
        <v>45811.0</v>
      </c>
      <c r="AO1" s="4">
        <v>45812.0</v>
      </c>
      <c r="AP1" s="4">
        <v>45813.0</v>
      </c>
      <c r="AQ1" s="4">
        <v>45814.0</v>
      </c>
      <c r="AR1" s="4">
        <v>45815.0</v>
      </c>
      <c r="AS1" s="4">
        <v>45816.0</v>
      </c>
      <c r="AT1" s="4">
        <v>45817.0</v>
      </c>
      <c r="AU1" s="4">
        <v>45818.0</v>
      </c>
      <c r="AV1" s="4">
        <v>45819.0</v>
      </c>
      <c r="AW1" s="4">
        <v>45820.0</v>
      </c>
      <c r="AX1" s="4">
        <v>45821.0</v>
      </c>
      <c r="AY1" s="4">
        <v>45822.0</v>
      </c>
      <c r="AZ1" s="4">
        <v>45823.0</v>
      </c>
      <c r="BA1" s="4">
        <v>45824.0</v>
      </c>
      <c r="BB1" s="4">
        <v>45825.0</v>
      </c>
      <c r="BC1" s="4">
        <v>45826.0</v>
      </c>
      <c r="BD1" s="4">
        <v>45827.0</v>
      </c>
      <c r="BE1" s="4">
        <v>45828.0</v>
      </c>
      <c r="BF1" s="4">
        <v>45829.0</v>
      </c>
      <c r="BG1" s="4">
        <v>45830.0</v>
      </c>
      <c r="BH1" s="4">
        <v>45831.0</v>
      </c>
      <c r="BI1" s="4">
        <v>45832.0</v>
      </c>
      <c r="BJ1" s="4">
        <v>45833.0</v>
      </c>
      <c r="BK1" s="4">
        <v>45834.0</v>
      </c>
      <c r="BL1" s="4">
        <v>45835.0</v>
      </c>
      <c r="BM1" s="4">
        <v>45836.0</v>
      </c>
      <c r="BN1" s="4">
        <v>45837.0</v>
      </c>
      <c r="BO1" s="4">
        <v>45838.0</v>
      </c>
      <c r="BP1" s="5" t="s">
        <v>2</v>
      </c>
      <c r="BQ1" s="4">
        <v>45839.0</v>
      </c>
      <c r="BR1" s="4">
        <v>45840.0</v>
      </c>
      <c r="BS1" s="4">
        <v>45841.0</v>
      </c>
      <c r="BT1" s="4">
        <v>45842.0</v>
      </c>
      <c r="BU1" s="4">
        <v>45843.0</v>
      </c>
      <c r="BV1" s="4">
        <v>45844.0</v>
      </c>
      <c r="BW1" s="4">
        <v>45845.0</v>
      </c>
      <c r="BX1" s="4">
        <v>45846.0</v>
      </c>
      <c r="BY1" s="4">
        <v>45847.0</v>
      </c>
      <c r="BZ1" s="4">
        <v>45848.0</v>
      </c>
      <c r="CA1" s="4">
        <v>45849.0</v>
      </c>
      <c r="CB1" s="4">
        <v>45850.0</v>
      </c>
      <c r="CC1" s="4">
        <v>45851.0</v>
      </c>
      <c r="CD1" s="4">
        <v>45852.0</v>
      </c>
      <c r="CE1" s="4">
        <v>45853.0</v>
      </c>
      <c r="CF1" s="4">
        <v>45854.0</v>
      </c>
      <c r="CG1" s="4">
        <v>45855.0</v>
      </c>
      <c r="CH1" s="4">
        <v>45856.0</v>
      </c>
      <c r="CI1" s="4">
        <v>45857.0</v>
      </c>
      <c r="CJ1" s="4">
        <v>45858.0</v>
      </c>
      <c r="CK1" s="4">
        <v>45859.0</v>
      </c>
      <c r="CL1" s="4">
        <v>45860.0</v>
      </c>
      <c r="CM1" s="4">
        <v>45861.0</v>
      </c>
      <c r="CN1" s="4">
        <v>45862.0</v>
      </c>
      <c r="CO1" s="4">
        <v>45863.0</v>
      </c>
      <c r="CP1" s="4">
        <v>45864.0</v>
      </c>
      <c r="CQ1" s="4">
        <v>45865.0</v>
      </c>
      <c r="CR1" s="4">
        <v>45866.0</v>
      </c>
      <c r="CS1" s="4">
        <v>45867.0</v>
      </c>
      <c r="CT1" s="4">
        <v>45868.0</v>
      </c>
      <c r="CU1" s="6"/>
    </row>
    <row r="2">
      <c r="A2" s="7" t="s">
        <v>3</v>
      </c>
      <c r="B2" s="8">
        <f>SUM(B3:B100)</f>
        <v>162</v>
      </c>
      <c r="C2" s="8">
        <f t="shared" ref="C2:C70" si="2">sum(D2:CT2)</f>
        <v>238</v>
      </c>
      <c r="D2" s="8">
        <f t="shared" ref="D2:CT2" si="1">sum(D3:D70)</f>
        <v>2</v>
      </c>
      <c r="E2" s="8">
        <f t="shared" si="1"/>
        <v>1</v>
      </c>
      <c r="F2" s="8">
        <f t="shared" si="1"/>
        <v>7</v>
      </c>
      <c r="G2" s="8">
        <f t="shared" si="1"/>
        <v>11</v>
      </c>
      <c r="H2" s="8">
        <f t="shared" si="1"/>
        <v>6</v>
      </c>
      <c r="I2" s="8">
        <f t="shared" si="1"/>
        <v>2</v>
      </c>
      <c r="J2" s="8">
        <f t="shared" si="1"/>
        <v>7</v>
      </c>
      <c r="K2" s="8">
        <f t="shared" si="1"/>
        <v>3</v>
      </c>
      <c r="L2" s="8">
        <f t="shared" si="1"/>
        <v>1</v>
      </c>
      <c r="M2" s="8">
        <f t="shared" si="1"/>
        <v>6</v>
      </c>
      <c r="N2" s="8">
        <f t="shared" si="1"/>
        <v>4</v>
      </c>
      <c r="O2" s="8">
        <f t="shared" si="1"/>
        <v>6</v>
      </c>
      <c r="P2" s="8">
        <f t="shared" si="1"/>
        <v>4</v>
      </c>
      <c r="Q2" s="8">
        <f t="shared" si="1"/>
        <v>1</v>
      </c>
      <c r="R2" s="8">
        <f t="shared" si="1"/>
        <v>3</v>
      </c>
      <c r="S2" s="8">
        <f t="shared" si="1"/>
        <v>0</v>
      </c>
      <c r="T2" s="8">
        <f t="shared" si="1"/>
        <v>1</v>
      </c>
      <c r="U2" s="8">
        <f t="shared" si="1"/>
        <v>4</v>
      </c>
      <c r="V2" s="8">
        <f t="shared" si="1"/>
        <v>1</v>
      </c>
      <c r="W2" s="8">
        <f t="shared" si="1"/>
        <v>1</v>
      </c>
      <c r="X2" s="8">
        <f t="shared" si="1"/>
        <v>2</v>
      </c>
      <c r="Y2" s="8">
        <f t="shared" si="1"/>
        <v>1</v>
      </c>
      <c r="Z2" s="8">
        <f t="shared" si="1"/>
        <v>0</v>
      </c>
      <c r="AA2" s="8">
        <f t="shared" si="1"/>
        <v>2</v>
      </c>
      <c r="AB2" s="8">
        <f t="shared" si="1"/>
        <v>3</v>
      </c>
      <c r="AC2" s="8">
        <f t="shared" si="1"/>
        <v>0</v>
      </c>
      <c r="AD2" s="8">
        <f t="shared" si="1"/>
        <v>4</v>
      </c>
      <c r="AE2" s="8">
        <f t="shared" si="1"/>
        <v>2</v>
      </c>
      <c r="AF2" s="8">
        <f t="shared" si="1"/>
        <v>4</v>
      </c>
      <c r="AG2" s="8">
        <f t="shared" si="1"/>
        <v>3</v>
      </c>
      <c r="AH2" s="8">
        <f t="shared" si="1"/>
        <v>6</v>
      </c>
      <c r="AI2" s="8">
        <f t="shared" si="1"/>
        <v>3</v>
      </c>
      <c r="AJ2" s="8">
        <f t="shared" si="1"/>
        <v>4</v>
      </c>
      <c r="AK2" s="8">
        <f t="shared" si="1"/>
        <v>1</v>
      </c>
      <c r="AL2" s="8">
        <f t="shared" si="1"/>
        <v>2</v>
      </c>
      <c r="AM2" s="8">
        <f t="shared" si="1"/>
        <v>2</v>
      </c>
      <c r="AN2" s="8">
        <f t="shared" si="1"/>
        <v>4</v>
      </c>
      <c r="AO2" s="8">
        <f t="shared" si="1"/>
        <v>1</v>
      </c>
      <c r="AP2" s="8">
        <f t="shared" si="1"/>
        <v>1</v>
      </c>
      <c r="AQ2" s="8">
        <f t="shared" si="1"/>
        <v>2</v>
      </c>
      <c r="AR2" s="8">
        <f t="shared" si="1"/>
        <v>1</v>
      </c>
      <c r="AS2" s="8">
        <f t="shared" si="1"/>
        <v>0</v>
      </c>
      <c r="AT2" s="8">
        <f t="shared" si="1"/>
        <v>2</v>
      </c>
      <c r="AU2" s="8">
        <f t="shared" si="1"/>
        <v>3</v>
      </c>
      <c r="AV2" s="8">
        <f t="shared" si="1"/>
        <v>1</v>
      </c>
      <c r="AW2" s="8">
        <f t="shared" si="1"/>
        <v>2</v>
      </c>
      <c r="AX2" s="8">
        <f t="shared" si="1"/>
        <v>4</v>
      </c>
      <c r="AY2" s="8">
        <f t="shared" si="1"/>
        <v>4</v>
      </c>
      <c r="AZ2" s="8">
        <f t="shared" si="1"/>
        <v>1</v>
      </c>
      <c r="BA2" s="8">
        <f t="shared" si="1"/>
        <v>7</v>
      </c>
      <c r="BB2" s="8">
        <f t="shared" si="1"/>
        <v>3</v>
      </c>
      <c r="BC2" s="8">
        <f t="shared" si="1"/>
        <v>2</v>
      </c>
      <c r="BD2" s="8">
        <f t="shared" si="1"/>
        <v>2</v>
      </c>
      <c r="BE2" s="8">
        <f t="shared" si="1"/>
        <v>1</v>
      </c>
      <c r="BF2" s="8">
        <f t="shared" si="1"/>
        <v>0</v>
      </c>
      <c r="BG2" s="8">
        <f t="shared" si="1"/>
        <v>3</v>
      </c>
      <c r="BH2" s="8">
        <f t="shared" si="1"/>
        <v>5</v>
      </c>
      <c r="BI2" s="8">
        <f t="shared" si="1"/>
        <v>3</v>
      </c>
      <c r="BJ2" s="8">
        <f t="shared" si="1"/>
        <v>2</v>
      </c>
      <c r="BK2" s="8">
        <f t="shared" si="1"/>
        <v>5</v>
      </c>
      <c r="BL2" s="8">
        <f t="shared" si="1"/>
        <v>6</v>
      </c>
      <c r="BM2" s="8">
        <f t="shared" si="1"/>
        <v>2</v>
      </c>
      <c r="BN2" s="8">
        <f t="shared" si="1"/>
        <v>2</v>
      </c>
      <c r="BO2" s="8">
        <f t="shared" si="1"/>
        <v>4</v>
      </c>
      <c r="BP2" s="8">
        <f t="shared" si="1"/>
        <v>4</v>
      </c>
      <c r="BQ2" s="8">
        <f t="shared" si="1"/>
        <v>0</v>
      </c>
      <c r="BR2" s="8">
        <f t="shared" si="1"/>
        <v>2</v>
      </c>
      <c r="BS2" s="8">
        <f t="shared" si="1"/>
        <v>4</v>
      </c>
      <c r="BT2" s="8">
        <f t="shared" si="1"/>
        <v>2</v>
      </c>
      <c r="BU2" s="8">
        <f t="shared" si="1"/>
        <v>2</v>
      </c>
      <c r="BV2" s="8">
        <f t="shared" si="1"/>
        <v>4</v>
      </c>
      <c r="BW2" s="8">
        <f t="shared" si="1"/>
        <v>0</v>
      </c>
      <c r="BX2" s="8">
        <f t="shared" si="1"/>
        <v>5</v>
      </c>
      <c r="BY2" s="8">
        <f t="shared" si="1"/>
        <v>0</v>
      </c>
      <c r="BZ2" s="8">
        <f t="shared" si="1"/>
        <v>3</v>
      </c>
      <c r="CA2" s="8">
        <f t="shared" si="1"/>
        <v>5</v>
      </c>
      <c r="CB2" s="8">
        <f t="shared" si="1"/>
        <v>1</v>
      </c>
      <c r="CC2" s="8">
        <f t="shared" si="1"/>
        <v>4</v>
      </c>
      <c r="CD2" s="8">
        <f t="shared" si="1"/>
        <v>1</v>
      </c>
      <c r="CE2" s="8">
        <f t="shared" si="1"/>
        <v>3</v>
      </c>
      <c r="CF2" s="8">
        <f t="shared" si="1"/>
        <v>4</v>
      </c>
      <c r="CG2" s="8">
        <f t="shared" si="1"/>
        <v>5</v>
      </c>
      <c r="CH2" s="8">
        <f t="shared" si="1"/>
        <v>1</v>
      </c>
      <c r="CI2" s="8">
        <f t="shared" si="1"/>
        <v>1</v>
      </c>
      <c r="CJ2" s="8">
        <f t="shared" si="1"/>
        <v>1</v>
      </c>
      <c r="CK2" s="8">
        <f t="shared" si="1"/>
        <v>2</v>
      </c>
      <c r="CL2" s="8">
        <f t="shared" si="1"/>
        <v>1</v>
      </c>
      <c r="CM2" s="8">
        <f t="shared" si="1"/>
        <v>0</v>
      </c>
      <c r="CN2" s="8">
        <f t="shared" si="1"/>
        <v>0</v>
      </c>
      <c r="CO2" s="8">
        <f t="shared" si="1"/>
        <v>0</v>
      </c>
      <c r="CP2" s="8">
        <f t="shared" si="1"/>
        <v>0</v>
      </c>
      <c r="CQ2" s="8">
        <f t="shared" si="1"/>
        <v>0</v>
      </c>
      <c r="CR2" s="8">
        <f t="shared" si="1"/>
        <v>0</v>
      </c>
      <c r="CS2" s="8">
        <f t="shared" si="1"/>
        <v>0</v>
      </c>
      <c r="CT2" s="8">
        <f t="shared" si="1"/>
        <v>0</v>
      </c>
      <c r="CU2" s="9"/>
    </row>
    <row r="3">
      <c r="A3" s="10" t="s">
        <v>4</v>
      </c>
      <c r="B3" s="11">
        <f>SUM(vorodi!B2:Z2)-C3-'151'!C3</f>
        <v>0</v>
      </c>
      <c r="C3" s="12">
        <f t="shared" si="2"/>
        <v>1</v>
      </c>
      <c r="D3" s="13">
        <v>1.0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5">
        <v>948.0</v>
      </c>
    </row>
    <row r="4">
      <c r="A4" s="10" t="s">
        <v>5</v>
      </c>
      <c r="B4" s="11">
        <f>SUM(vorodi!B3:Z3)-C4-'151'!C4</f>
        <v>1</v>
      </c>
      <c r="C4" s="12">
        <f t="shared" si="2"/>
        <v>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3">
        <v>1.0</v>
      </c>
      <c r="AG4" s="13">
        <v>1.0</v>
      </c>
      <c r="AH4" s="14"/>
      <c r="AI4" s="14"/>
      <c r="AJ4" s="13">
        <v>1.0</v>
      </c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3">
        <v>1.0</v>
      </c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3">
        <v>1.0</v>
      </c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5">
        <v>915.0</v>
      </c>
    </row>
    <row r="5">
      <c r="A5" s="10" t="s">
        <v>6</v>
      </c>
      <c r="B5" s="11">
        <f>SUM(vorodi!B4:Z4)-C5-'151'!C5</f>
        <v>1</v>
      </c>
      <c r="C5" s="12">
        <f t="shared" si="2"/>
        <v>4</v>
      </c>
      <c r="D5" s="14"/>
      <c r="E5" s="14"/>
      <c r="F5" s="13">
        <v>1.0</v>
      </c>
      <c r="G5" s="14"/>
      <c r="H5" s="14"/>
      <c r="I5" s="14"/>
      <c r="J5" s="14"/>
      <c r="K5" s="14"/>
      <c r="L5" s="14"/>
      <c r="M5" s="14"/>
      <c r="N5" s="13">
        <v>1.0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3">
        <v>1.0</v>
      </c>
      <c r="AC5" s="14"/>
      <c r="AD5" s="13">
        <v>1.0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5">
        <v>468.0</v>
      </c>
    </row>
    <row r="6">
      <c r="A6" s="10" t="s">
        <v>7</v>
      </c>
      <c r="B6" s="11">
        <f>SUM(vorodi!B5:Z5)-C6-'151'!C6</f>
        <v>0</v>
      </c>
      <c r="C6" s="12">
        <f t="shared" si="2"/>
        <v>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3">
        <v>1.0</v>
      </c>
      <c r="AI6" s="14"/>
      <c r="AJ6" s="14"/>
      <c r="AK6" s="14"/>
      <c r="AL6" s="13"/>
      <c r="AM6" s="14"/>
      <c r="AN6" s="13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5">
        <v>920.0</v>
      </c>
    </row>
    <row r="7">
      <c r="A7" s="10" t="s">
        <v>8</v>
      </c>
      <c r="B7" s="11">
        <f>SUM(vorodi!B6:Z6)-C7-'151'!C7</f>
        <v>0</v>
      </c>
      <c r="C7" s="12">
        <f t="shared" si="2"/>
        <v>1</v>
      </c>
      <c r="D7" s="14"/>
      <c r="E7" s="14"/>
      <c r="F7" s="14"/>
      <c r="G7" s="14"/>
      <c r="H7" s="14"/>
      <c r="I7" s="14"/>
      <c r="J7" s="14"/>
      <c r="K7" s="14"/>
      <c r="L7" s="14"/>
      <c r="M7" s="13">
        <v>1.0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5">
        <v>950.0</v>
      </c>
    </row>
    <row r="8">
      <c r="A8" s="10" t="s">
        <v>9</v>
      </c>
      <c r="B8" s="11">
        <f>SUM(vorodi!B11:Z11)-C8-'151'!C12</f>
        <v>0</v>
      </c>
      <c r="C8" s="12">
        <f t="shared" si="2"/>
        <v>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3">
        <v>1.0</v>
      </c>
      <c r="S8" s="14"/>
      <c r="T8" s="14"/>
      <c r="U8" s="14"/>
      <c r="V8" s="14"/>
      <c r="W8" s="14"/>
      <c r="X8" s="13">
        <v>1.0</v>
      </c>
      <c r="Y8" s="14"/>
      <c r="Z8" s="14"/>
      <c r="AA8" s="14"/>
      <c r="AB8" s="14"/>
      <c r="AC8" s="14"/>
      <c r="AD8" s="14"/>
      <c r="AE8" s="14"/>
      <c r="AF8" s="14"/>
      <c r="AG8" s="14"/>
      <c r="AH8" s="13">
        <v>1.0</v>
      </c>
      <c r="AI8" s="14"/>
      <c r="AJ8" s="14"/>
      <c r="AK8" s="14"/>
      <c r="AL8" s="13">
        <v>1.0</v>
      </c>
      <c r="AM8" s="14"/>
      <c r="AN8" s="13">
        <v>1.0</v>
      </c>
      <c r="AO8" s="14"/>
      <c r="AP8" s="14"/>
      <c r="AQ8" s="14"/>
      <c r="AR8" s="14"/>
      <c r="AS8" s="14"/>
      <c r="AT8" s="14"/>
      <c r="AU8" s="14"/>
      <c r="AV8" s="14"/>
      <c r="AW8" s="14"/>
      <c r="AX8" s="13">
        <v>1.0</v>
      </c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5">
        <v>958.0</v>
      </c>
    </row>
    <row r="9">
      <c r="A9" s="10" t="s">
        <v>10</v>
      </c>
      <c r="B9" s="11">
        <f>SUM(vorodi!B7:Z7)-C9-'151'!C8</f>
        <v>5</v>
      </c>
      <c r="C9" s="12">
        <f t="shared" si="2"/>
        <v>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3">
        <v>1.0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3">
        <v>1.0</v>
      </c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5">
        <v>580.0</v>
      </c>
    </row>
    <row r="10">
      <c r="A10" s="10" t="s">
        <v>11</v>
      </c>
      <c r="B10" s="11">
        <f>SUM(vorodi!B8:Z8)-C10-'151'!C9</f>
        <v>-4</v>
      </c>
      <c r="C10" s="12">
        <f t="shared" si="2"/>
        <v>8</v>
      </c>
      <c r="D10" s="13">
        <v>1.0</v>
      </c>
      <c r="E10" s="14"/>
      <c r="F10" s="13">
        <v>1.0</v>
      </c>
      <c r="G10" s="14"/>
      <c r="H10" s="14"/>
      <c r="I10" s="14"/>
      <c r="J10" s="14"/>
      <c r="K10" s="14"/>
      <c r="L10" s="14"/>
      <c r="M10" s="14"/>
      <c r="N10" s="13">
        <v>1.0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3">
        <v>1.0</v>
      </c>
      <c r="AH10" s="14"/>
      <c r="AI10" s="13">
        <v>1.0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3">
        <v>1.0</v>
      </c>
      <c r="AW10" s="14"/>
      <c r="AX10" s="13">
        <v>1.0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3">
        <v>1.0</v>
      </c>
      <c r="CB10" s="14"/>
      <c r="CC10" s="14"/>
      <c r="CD10" s="14"/>
      <c r="CE10" s="14"/>
      <c r="CF10" s="14"/>
      <c r="CG10" s="14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5">
        <v>570.0</v>
      </c>
    </row>
    <row r="11">
      <c r="A11" s="10" t="s">
        <v>12</v>
      </c>
      <c r="B11" s="11">
        <f>SUM(vorodi!B9:Z9)-C11-'151'!C10</f>
        <v>0</v>
      </c>
      <c r="C11" s="12">
        <f t="shared" si="2"/>
        <v>11</v>
      </c>
      <c r="D11" s="14"/>
      <c r="E11" s="14"/>
      <c r="F11" s="13">
        <v>1.0</v>
      </c>
      <c r="G11" s="13">
        <v>4.0</v>
      </c>
      <c r="H11" s="13">
        <v>3.0</v>
      </c>
      <c r="I11" s="13">
        <v>1.0</v>
      </c>
      <c r="J11" s="14"/>
      <c r="K11" s="14"/>
      <c r="L11" s="13"/>
      <c r="M11" s="13">
        <v>1.0</v>
      </c>
      <c r="N11" s="14"/>
      <c r="O11" s="14"/>
      <c r="P11" s="13">
        <v>1.0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5">
        <v>560.0</v>
      </c>
    </row>
    <row r="12">
      <c r="A12" s="10" t="s">
        <v>13</v>
      </c>
      <c r="B12" s="11">
        <f>SUM(vorodi!B10:Z10)-C12-'151'!C11</f>
        <v>0</v>
      </c>
      <c r="C12" s="12">
        <f t="shared" si="2"/>
        <v>8</v>
      </c>
      <c r="D12" s="14"/>
      <c r="E12" s="14"/>
      <c r="F12" s="14"/>
      <c r="G12" s="13">
        <v>2.0</v>
      </c>
      <c r="H12" s="13">
        <v>1.0</v>
      </c>
      <c r="I12" s="14"/>
      <c r="J12" s="14"/>
      <c r="K12" s="13">
        <v>2.0</v>
      </c>
      <c r="L12" s="14"/>
      <c r="M12" s="14"/>
      <c r="N12" s="14"/>
      <c r="O12" s="14"/>
      <c r="P12" s="14"/>
      <c r="Q12" s="14"/>
      <c r="R12" s="13">
        <v>1.0</v>
      </c>
      <c r="S12" s="14"/>
      <c r="T12" s="14"/>
      <c r="U12" s="14"/>
      <c r="V12" s="14"/>
      <c r="W12" s="14"/>
      <c r="X12" s="14"/>
      <c r="Y12" s="14"/>
      <c r="Z12" s="14"/>
      <c r="AA12" s="14"/>
      <c r="AB12" s="13">
        <v>1.0</v>
      </c>
      <c r="AC12" s="14"/>
      <c r="AD12" s="14"/>
      <c r="AE12" s="14"/>
      <c r="AF12" s="14"/>
      <c r="AG12" s="14"/>
      <c r="AH12" s="13">
        <v>1.0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5">
        <v>580.0</v>
      </c>
    </row>
    <row r="13">
      <c r="A13" s="10" t="s">
        <v>14</v>
      </c>
      <c r="B13" s="11">
        <f>SUM(vorodi!B12:Z12)-C13-'151'!C13</f>
        <v>2</v>
      </c>
      <c r="C13" s="12">
        <f t="shared" si="2"/>
        <v>3</v>
      </c>
      <c r="D13" s="13"/>
      <c r="E13" s="13">
        <v>1.0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3">
        <v>1.0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3">
        <v>1.0</v>
      </c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5">
        <v>650.0</v>
      </c>
    </row>
    <row r="14">
      <c r="A14" s="10" t="s">
        <v>15</v>
      </c>
      <c r="B14" s="11">
        <f>SUM(vorodi!B13:Z13)-C14-'151'!C14</f>
        <v>-3</v>
      </c>
      <c r="C14" s="12">
        <f t="shared" si="2"/>
        <v>2</v>
      </c>
      <c r="D14" s="14"/>
      <c r="E14" s="14"/>
      <c r="F14" s="13">
        <v>1.0</v>
      </c>
      <c r="G14" s="14"/>
      <c r="H14" s="13">
        <v>1.0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5">
        <v>580.0</v>
      </c>
    </row>
    <row r="15">
      <c r="A15" s="10" t="s">
        <v>16</v>
      </c>
      <c r="B15" s="11">
        <f>SUM(vorodi!B14:Z14)-C15-'151'!C15</f>
        <v>0</v>
      </c>
      <c r="C15" s="12">
        <f t="shared" si="2"/>
        <v>1</v>
      </c>
      <c r="D15" s="14"/>
      <c r="E15" s="14"/>
      <c r="F15" s="14"/>
      <c r="G15" s="14"/>
      <c r="H15" s="14"/>
      <c r="I15" s="14"/>
      <c r="J15" s="14"/>
      <c r="K15" s="13">
        <v>1.0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5">
        <v>720.0</v>
      </c>
    </row>
    <row r="16">
      <c r="A16" s="10" t="s">
        <v>17</v>
      </c>
      <c r="B16" s="11">
        <f>SUM(vorodi!B15:Z15)-C16-'151'!C16</f>
        <v>0</v>
      </c>
      <c r="C16" s="12">
        <f t="shared" si="2"/>
        <v>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3">
        <v>1.0</v>
      </c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5">
        <v>630.0</v>
      </c>
    </row>
    <row r="17">
      <c r="A17" s="10" t="s">
        <v>18</v>
      </c>
      <c r="B17" s="11">
        <f>SUM(vorodi!B16:Z16)-C17-'151'!C17</f>
        <v>2</v>
      </c>
      <c r="C17" s="12">
        <f t="shared" si="2"/>
        <v>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3">
        <v>1.0</v>
      </c>
      <c r="AG17" s="14"/>
      <c r="AH17" s="14"/>
      <c r="AI17" s="14"/>
      <c r="AJ17" s="14"/>
      <c r="AK17" s="14"/>
      <c r="AL17" s="14"/>
      <c r="AM17" s="13">
        <v>1.0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3"/>
      <c r="BH17" s="13">
        <v>1.0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5">
        <v>650.0</v>
      </c>
    </row>
    <row r="18">
      <c r="A18" s="10" t="s">
        <v>19</v>
      </c>
      <c r="B18" s="11">
        <f>SUM(vorodi!B17:Z17)-C18-'151'!C18</f>
        <v>1</v>
      </c>
      <c r="C18" s="12">
        <f t="shared" si="2"/>
        <v>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3">
        <v>1.0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5">
        <v>750.0</v>
      </c>
    </row>
    <row r="19">
      <c r="A19" s="10" t="s">
        <v>20</v>
      </c>
      <c r="B19" s="11">
        <f>SUM(vorodi!B18:Z18)-C19-'151'!C19</f>
        <v>1</v>
      </c>
      <c r="C19" s="12">
        <f t="shared" si="2"/>
        <v>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>
        <v>1.0</v>
      </c>
      <c r="AK19" s="14"/>
      <c r="AL19" s="14"/>
      <c r="AM19" s="14"/>
      <c r="AN19" s="13">
        <v>1.0</v>
      </c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3">
        <v>1.0</v>
      </c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5">
        <v>380.0</v>
      </c>
    </row>
    <row r="20">
      <c r="A20" s="10" t="s">
        <v>21</v>
      </c>
      <c r="B20" s="11">
        <f>SUM(vorodi!B19:Z19)-C20-'151'!C20</f>
        <v>1</v>
      </c>
      <c r="C20" s="12">
        <f t="shared" si="2"/>
        <v>1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3">
        <v>1.0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5">
        <v>920.0</v>
      </c>
    </row>
    <row r="21">
      <c r="A21" s="10" t="s">
        <v>22</v>
      </c>
      <c r="B21" s="11">
        <f>SUM(vorodi!B20:Z20)-C21-'151'!C21</f>
        <v>0</v>
      </c>
      <c r="C21" s="12">
        <f t="shared" si="2"/>
        <v>2</v>
      </c>
      <c r="D21" s="14"/>
      <c r="E21" s="14"/>
      <c r="F21" s="14"/>
      <c r="G21" s="14"/>
      <c r="H21" s="14"/>
      <c r="I21" s="14"/>
      <c r="J21" s="14"/>
      <c r="K21" s="14"/>
      <c r="L21" s="13"/>
      <c r="M21" s="13">
        <v>1.0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3">
        <v>1.0</v>
      </c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5">
        <v>695.0</v>
      </c>
    </row>
    <row r="22">
      <c r="A22" s="10" t="s">
        <v>23</v>
      </c>
      <c r="B22" s="11">
        <f>SUM(vorodi!B21:Z21)-C22-'151'!C22</f>
        <v>-1</v>
      </c>
      <c r="C22" s="12">
        <f t="shared" si="2"/>
        <v>1</v>
      </c>
      <c r="D22" s="14"/>
      <c r="E22" s="14"/>
      <c r="F22" s="14"/>
      <c r="G22" s="13">
        <v>1.0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5">
        <v>970.0</v>
      </c>
    </row>
    <row r="23">
      <c r="A23" s="10" t="s">
        <v>24</v>
      </c>
      <c r="B23" s="11">
        <f>SUM(vorodi!B22:Z22)-C23-'151'!C23</f>
        <v>1</v>
      </c>
      <c r="C23" s="12">
        <f t="shared" si="2"/>
        <v>9</v>
      </c>
      <c r="D23" s="14"/>
      <c r="E23" s="14"/>
      <c r="F23" s="14"/>
      <c r="G23" s="13">
        <v>1.0</v>
      </c>
      <c r="H23" s="14"/>
      <c r="I23" s="14"/>
      <c r="J23" s="13">
        <v>2.0</v>
      </c>
      <c r="K23" s="14"/>
      <c r="L23" s="14"/>
      <c r="M23" s="14"/>
      <c r="N23" s="13">
        <v>1.0</v>
      </c>
      <c r="O23" s="13">
        <v>2.0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3">
        <v>1.0</v>
      </c>
      <c r="AB23" s="14"/>
      <c r="AC23" s="14"/>
      <c r="AD23" s="14"/>
      <c r="AE23" s="13">
        <v>1.0</v>
      </c>
      <c r="AF23" s="14"/>
      <c r="AG23" s="14"/>
      <c r="AH23" s="14"/>
      <c r="AI23" s="14"/>
      <c r="AJ23" s="14"/>
      <c r="AK23" s="14"/>
      <c r="AL23" s="13">
        <v>1.0</v>
      </c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5">
        <v>650.0</v>
      </c>
    </row>
    <row r="24">
      <c r="A24" s="10" t="s">
        <v>25</v>
      </c>
      <c r="B24" s="11">
        <f>SUM(vorodi!B23:Z23)-C24-'151'!C24</f>
        <v>2</v>
      </c>
      <c r="C24" s="12">
        <f t="shared" si="2"/>
        <v>5</v>
      </c>
      <c r="D24" s="14"/>
      <c r="E24" s="14"/>
      <c r="F24" s="13">
        <v>1.0</v>
      </c>
      <c r="G24" s="13">
        <v>1.0</v>
      </c>
      <c r="H24" s="14"/>
      <c r="I24" s="14"/>
      <c r="J24" s="14"/>
      <c r="K24" s="14"/>
      <c r="L24" s="14"/>
      <c r="M24" s="14"/>
      <c r="N24" s="14"/>
      <c r="O24" s="13">
        <v>1.0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3">
        <v>1.0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3">
        <v>1.0</v>
      </c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5">
        <v>660.0</v>
      </c>
    </row>
    <row r="25">
      <c r="A25" s="10" t="s">
        <v>26</v>
      </c>
      <c r="B25" s="11">
        <f>SUM(vorodi!B24:Z24)-C25-'151'!C25</f>
        <v>1</v>
      </c>
      <c r="C25" s="12">
        <f t="shared" si="2"/>
        <v>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>
        <v>1.0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5">
        <v>540.0</v>
      </c>
    </row>
    <row r="26">
      <c r="A26" s="10" t="s">
        <v>27</v>
      </c>
      <c r="B26" s="11">
        <f>SUM(vorodi!B25:Z25)-C26-'151'!C26</f>
        <v>1</v>
      </c>
      <c r="C26" s="12">
        <f t="shared" si="2"/>
        <v>2</v>
      </c>
      <c r="D26" s="14"/>
      <c r="E26" s="14"/>
      <c r="F26" s="14"/>
      <c r="G26" s="14"/>
      <c r="H26" s="13">
        <v>1.0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3">
        <v>1.0</v>
      </c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5">
        <v>660.0</v>
      </c>
    </row>
    <row r="27">
      <c r="A27" s="10" t="s">
        <v>28</v>
      </c>
      <c r="B27" s="11">
        <f>SUM(vorodi!B26:Z26)-C27-'151'!C27</f>
        <v>1</v>
      </c>
      <c r="C27" s="12">
        <f t="shared" si="2"/>
        <v>8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3">
        <v>1.0</v>
      </c>
      <c r="P27" s="14"/>
      <c r="Q27" s="14"/>
      <c r="R27" s="14"/>
      <c r="S27" s="14"/>
      <c r="T27" s="14"/>
      <c r="U27" s="13">
        <v>1.0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3">
        <v>1.0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3">
        <v>1.0</v>
      </c>
      <c r="BE27" s="14"/>
      <c r="BF27" s="14"/>
      <c r="BG27" s="14"/>
      <c r="BH27" s="14"/>
      <c r="BI27" s="14"/>
      <c r="BJ27" s="13">
        <v>1.0</v>
      </c>
      <c r="BK27" s="13">
        <v>1.0</v>
      </c>
      <c r="BL27" s="13">
        <v>1.0</v>
      </c>
      <c r="BM27" s="14"/>
      <c r="BN27" s="14"/>
      <c r="BO27" s="14"/>
      <c r="BP27" s="14"/>
      <c r="BQ27" s="14"/>
      <c r="BR27" s="14"/>
      <c r="BS27" s="14"/>
      <c r="BT27" s="14"/>
      <c r="BU27" s="13">
        <v>1.0</v>
      </c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5">
        <v>580.0</v>
      </c>
    </row>
    <row r="28">
      <c r="A28" s="10" t="s">
        <v>29</v>
      </c>
      <c r="B28" s="11">
        <f>SUM(vorodi!B27:Z27)-C28-'151'!C28</f>
        <v>4</v>
      </c>
      <c r="C28" s="12">
        <f t="shared" si="2"/>
        <v>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3">
        <v>1.0</v>
      </c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3">
        <v>1.0</v>
      </c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5">
        <v>750.0</v>
      </c>
    </row>
    <row r="29">
      <c r="A29" s="10" t="s">
        <v>30</v>
      </c>
      <c r="B29" s="11">
        <f>SUM(vorodi!B28:Z28)-C29-'151'!C29</f>
        <v>4</v>
      </c>
      <c r="C29" s="12">
        <f t="shared" si="2"/>
        <v>5</v>
      </c>
      <c r="D29" s="14"/>
      <c r="E29" s="14"/>
      <c r="F29" s="14"/>
      <c r="G29" s="14"/>
      <c r="H29" s="14"/>
      <c r="I29" s="13">
        <v>1.0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3">
        <v>1.0</v>
      </c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3">
        <v>1.0</v>
      </c>
      <c r="AV29" s="14"/>
      <c r="AW29" s="14"/>
      <c r="AX29" s="14"/>
      <c r="AY29" s="14"/>
      <c r="AZ29" s="13">
        <v>1.0</v>
      </c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3">
        <v>1.0</v>
      </c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5">
        <v>858.0</v>
      </c>
    </row>
    <row r="30">
      <c r="A30" s="10" t="s">
        <v>31</v>
      </c>
      <c r="B30" s="11">
        <f>SUM(vorodi!B29:Z29)-C30-'151'!C30</f>
        <v>2</v>
      </c>
      <c r="C30" s="12">
        <f t="shared" si="2"/>
        <v>7</v>
      </c>
      <c r="D30" s="14"/>
      <c r="E30" s="14"/>
      <c r="F30" s="13">
        <v>1.0</v>
      </c>
      <c r="G30" s="14"/>
      <c r="H30" s="14"/>
      <c r="I30" s="14"/>
      <c r="J30" s="14"/>
      <c r="K30" s="14"/>
      <c r="L30" s="14"/>
      <c r="M30" s="13">
        <v>1.0</v>
      </c>
      <c r="N30" s="13">
        <v>1.0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3">
        <v>1.0</v>
      </c>
      <c r="AI30" s="14"/>
      <c r="AJ30" s="14"/>
      <c r="AK30" s="14"/>
      <c r="AL30" s="14"/>
      <c r="AM30" s="14"/>
      <c r="AN30" s="14"/>
      <c r="AO30" s="14"/>
      <c r="AP30" s="14"/>
      <c r="AQ30" s="13">
        <v>1.0</v>
      </c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3">
        <v>1.0</v>
      </c>
      <c r="BW30" s="14"/>
      <c r="BX30" s="14"/>
      <c r="BY30" s="14"/>
      <c r="BZ30" s="13">
        <v>1.0</v>
      </c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5">
        <v>898.0</v>
      </c>
    </row>
    <row r="31">
      <c r="A31" s="10" t="s">
        <v>32</v>
      </c>
      <c r="B31" s="11">
        <f>SUM(vorodi!B30:Z30)-C31-'151'!C31</f>
        <v>10</v>
      </c>
      <c r="C31" s="12">
        <f t="shared" si="2"/>
        <v>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3">
        <v>1.0</v>
      </c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3">
        <v>2.0</v>
      </c>
      <c r="AZ31" s="14"/>
      <c r="BA31" s="13">
        <v>1.0</v>
      </c>
      <c r="BB31" s="13">
        <v>1.0</v>
      </c>
      <c r="BC31" s="14"/>
      <c r="BD31" s="14"/>
      <c r="BE31" s="14"/>
      <c r="BF31" s="14"/>
      <c r="BG31" s="13"/>
      <c r="BH31" s="13">
        <v>1.0</v>
      </c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5">
        <v>550.0</v>
      </c>
    </row>
    <row r="32">
      <c r="A32" s="10" t="s">
        <v>33</v>
      </c>
      <c r="B32" s="11">
        <f>SUM(vorodi!B31:Z31)-C32-'151'!C32</f>
        <v>-1</v>
      </c>
      <c r="C32" s="12">
        <f t="shared" si="2"/>
        <v>19</v>
      </c>
      <c r="D32" s="14"/>
      <c r="E32" s="14"/>
      <c r="F32" s="14"/>
      <c r="G32" s="14"/>
      <c r="H32" s="14"/>
      <c r="I32" s="14"/>
      <c r="J32" s="13">
        <v>2.0</v>
      </c>
      <c r="K32" s="14"/>
      <c r="L32" s="14"/>
      <c r="M32" s="13">
        <v>1.0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3">
        <v>1.0</v>
      </c>
      <c r="AB32" s="14"/>
      <c r="AC32" s="14"/>
      <c r="AD32" s="13">
        <v>2.0</v>
      </c>
      <c r="AE32" s="14"/>
      <c r="AF32" s="14"/>
      <c r="AG32" s="13">
        <v>1.0</v>
      </c>
      <c r="AH32" s="13">
        <v>1.0</v>
      </c>
      <c r="AI32" s="13">
        <v>1.0</v>
      </c>
      <c r="AJ32" s="13">
        <v>1.0</v>
      </c>
      <c r="AK32" s="13">
        <v>1.0</v>
      </c>
      <c r="AL32" s="14"/>
      <c r="AM32" s="14"/>
      <c r="AN32" s="13">
        <v>1.0</v>
      </c>
      <c r="AO32" s="14"/>
      <c r="AP32" s="13">
        <v>1.0</v>
      </c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3">
        <v>1.0</v>
      </c>
      <c r="BJ32" s="13">
        <v>1.0</v>
      </c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3">
        <v>1.0</v>
      </c>
      <c r="BV32" s="14"/>
      <c r="BW32" s="14"/>
      <c r="BX32" s="13">
        <v>1.0</v>
      </c>
      <c r="BY32" s="14"/>
      <c r="BZ32" s="13">
        <v>1.0</v>
      </c>
      <c r="CA32" s="14"/>
      <c r="CB32" s="14"/>
      <c r="CC32" s="14"/>
      <c r="CD32" s="14"/>
      <c r="CE32" s="14"/>
      <c r="CF32" s="14"/>
      <c r="CG32" s="13">
        <v>1.0</v>
      </c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5">
        <v>690.0</v>
      </c>
    </row>
    <row r="33">
      <c r="A33" s="10" t="s">
        <v>34</v>
      </c>
      <c r="B33" s="11">
        <f>SUM(vorodi!B32:Z32)-C33-'151'!C33</f>
        <v>-1</v>
      </c>
      <c r="C33" s="12">
        <f t="shared" si="2"/>
        <v>3</v>
      </c>
      <c r="D33" s="14"/>
      <c r="E33" s="14"/>
      <c r="F33" s="14"/>
      <c r="G33" s="13">
        <v>1.0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3">
        <v>1.0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3">
        <v>1.0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5">
        <v>800.0</v>
      </c>
    </row>
    <row r="34">
      <c r="A34" s="10" t="s">
        <v>35</v>
      </c>
      <c r="B34" s="11">
        <f>SUM(vorodi!B33:Z33)-C34-'151'!C34</f>
        <v>5</v>
      </c>
      <c r="C34" s="12">
        <f t="shared" si="2"/>
        <v>9</v>
      </c>
      <c r="D34" s="14"/>
      <c r="E34" s="14"/>
      <c r="F34" s="14"/>
      <c r="G34" s="14"/>
      <c r="H34" s="14"/>
      <c r="I34" s="14"/>
      <c r="J34" s="13">
        <v>2.0</v>
      </c>
      <c r="K34" s="14"/>
      <c r="L34" s="14"/>
      <c r="M34" s="14"/>
      <c r="N34" s="14"/>
      <c r="O34" s="13">
        <v>1.0</v>
      </c>
      <c r="P34" s="14"/>
      <c r="Q34" s="14"/>
      <c r="R34" s="14"/>
      <c r="S34" s="14"/>
      <c r="T34" s="14"/>
      <c r="U34" s="14"/>
      <c r="V34" s="13">
        <v>1.0</v>
      </c>
      <c r="W34" s="13">
        <v>1.0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3">
        <v>1.0</v>
      </c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3">
        <v>1.0</v>
      </c>
      <c r="AY34" s="14"/>
      <c r="AZ34" s="14"/>
      <c r="BA34" s="13">
        <v>1.0</v>
      </c>
      <c r="BB34" s="14"/>
      <c r="BC34" s="14"/>
      <c r="BD34" s="14"/>
      <c r="BE34" s="14"/>
      <c r="BF34" s="14"/>
      <c r="BG34" s="13"/>
      <c r="BH34" s="13">
        <v>1.0</v>
      </c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5">
        <v>500.0</v>
      </c>
    </row>
    <row r="35">
      <c r="A35" s="10" t="s">
        <v>36</v>
      </c>
      <c r="B35" s="11">
        <f>SUM(vorodi!B34:Z34)-C35-'151'!C35</f>
        <v>1</v>
      </c>
      <c r="C35" s="12">
        <f t="shared" si="2"/>
        <v>1</v>
      </c>
      <c r="D35" s="14"/>
      <c r="E35" s="14"/>
      <c r="F35" s="14"/>
      <c r="G35" s="13">
        <v>1.0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5">
        <v>890.0</v>
      </c>
    </row>
    <row r="36">
      <c r="A36" s="10" t="s">
        <v>37</v>
      </c>
      <c r="B36" s="11">
        <f>SUM(vorodi!B35:Z35)-C36-'151'!C36</f>
        <v>10</v>
      </c>
      <c r="C36" s="12">
        <f t="shared" si="2"/>
        <v>12</v>
      </c>
      <c r="D36" s="14"/>
      <c r="E36" s="14"/>
      <c r="F36" s="14"/>
      <c r="G36" s="14"/>
      <c r="H36" s="14"/>
      <c r="I36" s="14"/>
      <c r="J36" s="13">
        <v>1.0</v>
      </c>
      <c r="K36" s="14"/>
      <c r="L36" s="14"/>
      <c r="M36" s="13">
        <v>1.0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3">
        <v>1.0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>
        <v>1.0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3">
        <v>1.0</v>
      </c>
      <c r="AV36" s="14"/>
      <c r="AW36" s="14"/>
      <c r="AX36" s="14"/>
      <c r="AY36" s="14"/>
      <c r="AZ36" s="14"/>
      <c r="BA36" s="13">
        <v>2.0</v>
      </c>
      <c r="BB36" s="14"/>
      <c r="BC36" s="14"/>
      <c r="BD36" s="14"/>
      <c r="BE36" s="14"/>
      <c r="BF36" s="13"/>
      <c r="BG36" s="13">
        <v>1.0</v>
      </c>
      <c r="BH36" s="14"/>
      <c r="BI36" s="14"/>
      <c r="BJ36" s="14"/>
      <c r="BK36" s="13">
        <v>1.0</v>
      </c>
      <c r="BL36" s="14"/>
      <c r="BM36" s="14"/>
      <c r="BN36" s="14"/>
      <c r="BO36" s="14"/>
      <c r="BP36" s="14"/>
      <c r="BQ36" s="14"/>
      <c r="BR36" s="14"/>
      <c r="BS36" s="14"/>
      <c r="BT36" s="13">
        <v>1.0</v>
      </c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3">
        <v>1.0</v>
      </c>
      <c r="CH36" s="14"/>
      <c r="CI36" s="14"/>
      <c r="CJ36" s="14"/>
      <c r="CK36" s="13">
        <v>1.0</v>
      </c>
      <c r="CL36" s="14"/>
      <c r="CM36" s="14"/>
      <c r="CN36" s="14"/>
      <c r="CO36" s="14"/>
      <c r="CP36" s="14"/>
      <c r="CQ36" s="14"/>
      <c r="CR36" s="14"/>
      <c r="CS36" s="14"/>
      <c r="CT36" s="14"/>
      <c r="CU36" s="15">
        <v>750.0</v>
      </c>
    </row>
    <row r="37">
      <c r="A37" s="10" t="s">
        <v>38</v>
      </c>
      <c r="B37" s="11">
        <f>SUM(vorodi!B36:Z36)-C37-'151'!C37</f>
        <v>1</v>
      </c>
      <c r="C37" s="12">
        <f t="shared" si="2"/>
        <v>12</v>
      </c>
      <c r="D37" s="14"/>
      <c r="E37" s="14"/>
      <c r="F37" s="14"/>
      <c r="G37" s="14"/>
      <c r="H37" s="14"/>
      <c r="I37" s="14"/>
      <c r="J37" s="14"/>
      <c r="K37" s="14"/>
      <c r="L37" s="13">
        <v>1.0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3">
        <v>1.0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3">
        <v>1.0</v>
      </c>
      <c r="AR37" s="14"/>
      <c r="AS37" s="14"/>
      <c r="AT37" s="14"/>
      <c r="AU37" s="14"/>
      <c r="AV37" s="14"/>
      <c r="AW37" s="13">
        <v>1.0</v>
      </c>
      <c r="AX37" s="13">
        <v>1.0</v>
      </c>
      <c r="AY37" s="14"/>
      <c r="AZ37" s="14"/>
      <c r="BA37" s="14"/>
      <c r="BB37" s="13">
        <v>1.0</v>
      </c>
      <c r="BC37" s="13">
        <v>1.0</v>
      </c>
      <c r="BD37" s="14"/>
      <c r="BE37" s="14"/>
      <c r="BF37" s="14"/>
      <c r="BG37" s="13"/>
      <c r="BH37" s="13">
        <v>1.0</v>
      </c>
      <c r="BI37" s="13">
        <v>1.0</v>
      </c>
      <c r="BJ37" s="14"/>
      <c r="BK37" s="13">
        <v>1.0</v>
      </c>
      <c r="BL37" s="14"/>
      <c r="BM37" s="14"/>
      <c r="BN37" s="14"/>
      <c r="BO37" s="14"/>
      <c r="BP37" s="13">
        <v>1.0</v>
      </c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3">
        <v>1.0</v>
      </c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5">
        <v>990.0</v>
      </c>
    </row>
    <row r="38">
      <c r="A38" s="10" t="s">
        <v>39</v>
      </c>
      <c r="B38" s="11">
        <f>SUM(vorodi!B37:Z37)-C38-'151'!C38</f>
        <v>1</v>
      </c>
      <c r="C38" s="12">
        <f t="shared" si="2"/>
        <v>6</v>
      </c>
      <c r="D38" s="14"/>
      <c r="E38" s="14"/>
      <c r="F38" s="13">
        <v>1.0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3">
        <v>1.0</v>
      </c>
      <c r="AO38" s="14"/>
      <c r="AP38" s="14"/>
      <c r="AQ38" s="14"/>
      <c r="AR38" s="14"/>
      <c r="AS38" s="14"/>
      <c r="AT38" s="14"/>
      <c r="AU38" s="13">
        <v>1.0</v>
      </c>
      <c r="AV38" s="14"/>
      <c r="AW38" s="14"/>
      <c r="AX38" s="14"/>
      <c r="AY38" s="13">
        <v>1.0</v>
      </c>
      <c r="AZ38" s="14"/>
      <c r="BA38" s="14"/>
      <c r="BB38" s="14"/>
      <c r="BC38" s="14"/>
      <c r="BD38" s="14"/>
      <c r="BE38" s="14"/>
      <c r="BF38" s="14"/>
      <c r="BG38" s="14"/>
      <c r="BH38" s="14"/>
      <c r="BI38" s="13">
        <v>1.0</v>
      </c>
      <c r="BJ38" s="14"/>
      <c r="BK38" s="14"/>
      <c r="BL38" s="14"/>
      <c r="BM38" s="14"/>
      <c r="BN38" s="14"/>
      <c r="BO38" s="14"/>
      <c r="BP38" s="14"/>
      <c r="BQ38" s="14"/>
      <c r="BR38" s="14"/>
      <c r="BS38" s="13">
        <v>1.0</v>
      </c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5">
        <v>630.0</v>
      </c>
    </row>
    <row r="39">
      <c r="A39" s="10" t="s">
        <v>40</v>
      </c>
      <c r="B39" s="11">
        <f>SUM(vorodi!B38:Z38)-C39-'151'!C39</f>
        <v>3</v>
      </c>
      <c r="C39" s="12">
        <f t="shared" si="2"/>
        <v>3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3">
        <v>1.0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3">
        <v>1.0</v>
      </c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3">
        <v>1.0</v>
      </c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5">
        <v>858.0</v>
      </c>
    </row>
    <row r="40">
      <c r="A40" s="10" t="s">
        <v>41</v>
      </c>
      <c r="B40" s="11">
        <f>SUM(vorodi!B39:Z39)-C40-'151'!C40</f>
        <v>2</v>
      </c>
      <c r="C40" s="12">
        <f t="shared" si="2"/>
        <v>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3">
        <v>1.0</v>
      </c>
      <c r="S40" s="14"/>
      <c r="T40" s="14"/>
      <c r="U40" s="13">
        <v>1.0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5">
        <v>798.0</v>
      </c>
    </row>
    <row r="41">
      <c r="A41" s="10" t="s">
        <v>42</v>
      </c>
      <c r="B41" s="11">
        <f>SUM(vorodi!B40:Z40)-C41-'151'!C41</f>
        <v>6</v>
      </c>
      <c r="C41" s="12">
        <f t="shared" si="2"/>
        <v>6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>
        <v>2.0</v>
      </c>
      <c r="Q41" s="13">
        <v>1.0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3">
        <v>1.0</v>
      </c>
      <c r="BL41" s="14"/>
      <c r="BM41" s="14"/>
      <c r="BN41" s="14"/>
      <c r="BO41" s="14"/>
      <c r="BP41" s="14"/>
      <c r="BQ41" s="14"/>
      <c r="BR41" s="14"/>
      <c r="BS41" s="13">
        <v>2.0</v>
      </c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5">
        <v>1080.0</v>
      </c>
    </row>
    <row r="42">
      <c r="A42" s="10" t="s">
        <v>43</v>
      </c>
      <c r="B42" s="11">
        <f>SUM(vorodi!B41:Z41)-C42-'151'!C42</f>
        <v>0</v>
      </c>
      <c r="C42" s="12">
        <f t="shared" si="2"/>
        <v>13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3">
        <v>1.0</v>
      </c>
      <c r="AX42" s="14"/>
      <c r="AY42" s="14"/>
      <c r="AZ42" s="14"/>
      <c r="BA42" s="13">
        <v>1.0</v>
      </c>
      <c r="BB42" s="14"/>
      <c r="BC42" s="14"/>
      <c r="BD42" s="14"/>
      <c r="BE42" s="14"/>
      <c r="BF42" s="13"/>
      <c r="BG42" s="13">
        <v>1.0</v>
      </c>
      <c r="BH42" s="13">
        <v>1.0</v>
      </c>
      <c r="BI42" s="14"/>
      <c r="BJ42" s="14"/>
      <c r="BK42" s="13">
        <v>1.0</v>
      </c>
      <c r="BL42" s="13">
        <v>2.0</v>
      </c>
      <c r="BM42" s="13">
        <v>1.0</v>
      </c>
      <c r="BN42" s="14"/>
      <c r="BO42" s="13">
        <v>1.0</v>
      </c>
      <c r="BP42" s="14"/>
      <c r="BQ42" s="14"/>
      <c r="BR42" s="14"/>
      <c r="BS42" s="14"/>
      <c r="BT42" s="14"/>
      <c r="BU42" s="14"/>
      <c r="BV42" s="14"/>
      <c r="BW42" s="14"/>
      <c r="BX42" s="13">
        <v>1.0</v>
      </c>
      <c r="BY42" s="14"/>
      <c r="BZ42" s="14"/>
      <c r="CA42" s="14"/>
      <c r="CB42" s="13">
        <v>1.0</v>
      </c>
      <c r="CC42" s="14"/>
      <c r="CD42" s="14"/>
      <c r="CE42" s="13">
        <v>1.0</v>
      </c>
      <c r="CF42" s="13">
        <v>1.0</v>
      </c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6"/>
    </row>
    <row r="43">
      <c r="A43" s="10" t="s">
        <v>44</v>
      </c>
      <c r="B43" s="11">
        <f>SUM(vorodi!B42:Z42)-C43-'151'!C43</f>
        <v>0</v>
      </c>
      <c r="C43" s="12">
        <f t="shared" si="2"/>
        <v>12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3">
        <v>1.0</v>
      </c>
      <c r="BB43" s="14"/>
      <c r="BC43" s="14"/>
      <c r="BD43" s="14"/>
      <c r="BE43" s="14"/>
      <c r="BF43" s="14"/>
      <c r="BG43" s="13">
        <v>1.0</v>
      </c>
      <c r="BH43" s="14"/>
      <c r="BI43" s="14"/>
      <c r="BJ43" s="14"/>
      <c r="BK43" s="14"/>
      <c r="BL43" s="13">
        <v>1.0</v>
      </c>
      <c r="BM43" s="14"/>
      <c r="BN43" s="13">
        <v>1.0</v>
      </c>
      <c r="BO43" s="13">
        <v>1.0</v>
      </c>
      <c r="BP43" s="14"/>
      <c r="BQ43" s="14"/>
      <c r="BR43" s="14"/>
      <c r="BS43" s="14"/>
      <c r="BT43" s="13">
        <v>1.0</v>
      </c>
      <c r="BU43" s="14"/>
      <c r="BV43" s="14"/>
      <c r="BW43" s="14"/>
      <c r="BX43" s="14"/>
      <c r="BY43" s="14"/>
      <c r="BZ43" s="14"/>
      <c r="CA43" s="13">
        <v>1.0</v>
      </c>
      <c r="CB43" s="14"/>
      <c r="CC43" s="13">
        <v>1.0</v>
      </c>
      <c r="CD43" s="14"/>
      <c r="CE43" s="14"/>
      <c r="CF43" s="14"/>
      <c r="CG43" s="13">
        <v>1.0</v>
      </c>
      <c r="CH43" s="13">
        <v>1.0</v>
      </c>
      <c r="CI43" s="14"/>
      <c r="CJ43" s="13">
        <v>1.0</v>
      </c>
      <c r="CK43" s="14"/>
      <c r="CL43" s="13">
        <v>1.0</v>
      </c>
      <c r="CM43" s="14"/>
      <c r="CN43" s="14"/>
      <c r="CO43" s="14"/>
      <c r="CP43" s="14"/>
      <c r="CQ43" s="14"/>
      <c r="CR43" s="14"/>
      <c r="CS43" s="14"/>
      <c r="CT43" s="14"/>
      <c r="CU43" s="16"/>
    </row>
    <row r="44">
      <c r="A44" s="10" t="s">
        <v>45</v>
      </c>
      <c r="B44" s="11">
        <f>SUM(vorodi!B43:Z43)-C44-'151'!C44</f>
        <v>6</v>
      </c>
      <c r="C44" s="12">
        <f t="shared" si="2"/>
        <v>8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3">
        <v>1.0</v>
      </c>
      <c r="BB44" s="14"/>
      <c r="BC44" s="13">
        <v>1.0</v>
      </c>
      <c r="BD44" s="13">
        <v>1.0</v>
      </c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3">
        <v>3.0</v>
      </c>
      <c r="BW44" s="14"/>
      <c r="BX44" s="13">
        <v>2.0</v>
      </c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6"/>
    </row>
    <row r="45">
      <c r="A45" s="10"/>
      <c r="B45" s="11">
        <f>SUM(vorodi!B44:Z44)-C45-'151'!C45</f>
        <v>0</v>
      </c>
      <c r="C45" s="12">
        <f t="shared" si="2"/>
        <v>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3"/>
      <c r="BB45" s="14"/>
      <c r="BC45" s="14"/>
      <c r="BD45" s="14"/>
      <c r="BE45" s="14"/>
      <c r="BF45" s="13"/>
      <c r="BG45" s="13"/>
      <c r="BH45" s="14"/>
      <c r="BI45" s="14"/>
      <c r="BJ45" s="14"/>
      <c r="BK45" s="14"/>
      <c r="BL45" s="13"/>
      <c r="BM45" s="14"/>
      <c r="BN45" s="13"/>
      <c r="BO45" s="14"/>
      <c r="BP45" s="14"/>
      <c r="BQ45" s="14"/>
      <c r="BR45" s="14"/>
      <c r="BS45" s="14"/>
      <c r="BT45" s="13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3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6"/>
    </row>
    <row r="46">
      <c r="A46" s="10" t="s">
        <v>46</v>
      </c>
      <c r="B46" s="11">
        <f>SUM(vorodi!B45:Z45)-C46-'151'!C46</f>
        <v>1</v>
      </c>
      <c r="C46" s="12">
        <f t="shared" si="2"/>
        <v>4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3">
        <v>1.0</v>
      </c>
      <c r="BM46" s="13">
        <v>1.0</v>
      </c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3">
        <v>1.0</v>
      </c>
      <c r="BY46" s="14"/>
      <c r="BZ46" s="14"/>
      <c r="CA46" s="14"/>
      <c r="CB46" s="14"/>
      <c r="CC46" s="13">
        <v>1.0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6"/>
    </row>
    <row r="47">
      <c r="A47" s="10" t="s">
        <v>47</v>
      </c>
      <c r="B47" s="11">
        <f>SUM(vorodi!B46:Z46)-C47-'151'!C47</f>
        <v>11</v>
      </c>
      <c r="C47" s="12">
        <f t="shared" si="2"/>
        <v>5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3">
        <v>1.0</v>
      </c>
      <c r="BQ47" s="14"/>
      <c r="BR47" s="14"/>
      <c r="BS47" s="13">
        <v>1.0</v>
      </c>
      <c r="BT47" s="14"/>
      <c r="BU47" s="14"/>
      <c r="BV47" s="14"/>
      <c r="BW47" s="14"/>
      <c r="BX47" s="14"/>
      <c r="BY47" s="14"/>
      <c r="BZ47" s="14"/>
      <c r="CA47" s="13">
        <v>1.0</v>
      </c>
      <c r="CB47" s="14"/>
      <c r="CC47" s="13">
        <v>1.0</v>
      </c>
      <c r="CD47" s="14"/>
      <c r="CE47" s="14"/>
      <c r="CF47" s="14"/>
      <c r="CG47" s="13">
        <v>1.0</v>
      </c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6"/>
    </row>
    <row r="48">
      <c r="A48" s="10" t="s">
        <v>48</v>
      </c>
      <c r="B48" s="11">
        <f>SUM(vorodi!B47:Z47)-C48-'151'!C48</f>
        <v>2</v>
      </c>
      <c r="C48" s="12">
        <f t="shared" si="2"/>
        <v>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3">
        <v>1.0</v>
      </c>
      <c r="BO48" s="14"/>
      <c r="BP48" s="13">
        <v>2.0</v>
      </c>
      <c r="BQ48" s="14"/>
      <c r="BR48" s="13">
        <v>1.0</v>
      </c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6"/>
    </row>
    <row r="49">
      <c r="A49" s="10" t="s">
        <v>49</v>
      </c>
      <c r="B49" s="11">
        <f>SUM(vorodi!B48:Z48)-C49-'151'!C49</f>
        <v>3</v>
      </c>
      <c r="C49" s="12">
        <f t="shared" si="2"/>
        <v>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3">
        <v>1.0</v>
      </c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6"/>
    </row>
    <row r="50">
      <c r="A50" s="10" t="s">
        <v>50</v>
      </c>
      <c r="B50" s="11">
        <f>SUM(vorodi!B49:Z49)-C50-'151'!C50</f>
        <v>11</v>
      </c>
      <c r="C50" s="12">
        <f t="shared" si="2"/>
        <v>4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3">
        <v>3.0</v>
      </c>
      <c r="CG50" s="14"/>
      <c r="CH50" s="14"/>
      <c r="CI50" s="13">
        <v>1.0</v>
      </c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6"/>
    </row>
    <row r="51">
      <c r="A51" s="10" t="s">
        <v>51</v>
      </c>
      <c r="B51" s="11">
        <f>SUM(vorodi!B50:Z50)-C51-'151'!C51</f>
        <v>18</v>
      </c>
      <c r="C51" s="12">
        <f t="shared" si="2"/>
        <v>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3">
        <v>1.0</v>
      </c>
      <c r="CD51" s="13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6"/>
    </row>
    <row r="52">
      <c r="A52" s="10" t="s">
        <v>52</v>
      </c>
      <c r="B52" s="11">
        <f>SUM(vorodi!B51:Z51)-C52-'151'!C52</f>
        <v>10</v>
      </c>
      <c r="C52" s="12">
        <f t="shared" si="2"/>
        <v>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6"/>
    </row>
    <row r="53">
      <c r="A53" s="10" t="s">
        <v>53</v>
      </c>
      <c r="B53" s="11">
        <f>SUM(vorodi!B52:Z52)-C53-'151'!C53</f>
        <v>16</v>
      </c>
      <c r="C53" s="12">
        <f t="shared" si="2"/>
        <v>0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6"/>
    </row>
    <row r="54">
      <c r="A54" s="10" t="s">
        <v>54</v>
      </c>
      <c r="B54" s="11">
        <f>SUM(vorodi!B53:Z53)-C54-'151'!C54</f>
        <v>7</v>
      </c>
      <c r="C54" s="12">
        <f t="shared" si="2"/>
        <v>1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3">
        <v>1.0</v>
      </c>
      <c r="CL54" s="14"/>
      <c r="CM54" s="14"/>
      <c r="CN54" s="14"/>
      <c r="CO54" s="14"/>
      <c r="CP54" s="14"/>
      <c r="CQ54" s="14"/>
      <c r="CR54" s="14"/>
      <c r="CS54" s="14"/>
      <c r="CT54" s="14"/>
      <c r="CU54" s="16"/>
    </row>
    <row r="55">
      <c r="A55" s="10" t="s">
        <v>55</v>
      </c>
      <c r="B55" s="11">
        <f>SUM(vorodi!B54:Z54)-C55-'151'!C55</f>
        <v>4</v>
      </c>
      <c r="C55" s="12">
        <f t="shared" si="2"/>
        <v>0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6"/>
    </row>
    <row r="56">
      <c r="A56" s="10" t="s">
        <v>56</v>
      </c>
      <c r="B56" s="11">
        <f>SUM(vorodi!B55:Z55)-C56-'151'!C56</f>
        <v>4</v>
      </c>
      <c r="C56" s="12">
        <f t="shared" si="2"/>
        <v>0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6"/>
    </row>
    <row r="57">
      <c r="A57" s="10" t="s">
        <v>57</v>
      </c>
      <c r="B57" s="11">
        <f>SUM(vorodi!B56:Z56)-C57-'151'!C57</f>
        <v>4</v>
      </c>
      <c r="C57" s="12">
        <f t="shared" si="2"/>
        <v>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6"/>
    </row>
    <row r="58">
      <c r="A58" s="10" t="s">
        <v>58</v>
      </c>
      <c r="B58" s="11">
        <f>SUM(vorodi!B57:Z57)-C58-'151'!C58</f>
        <v>3</v>
      </c>
      <c r="C58" s="12">
        <f t="shared" si="2"/>
        <v>1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3">
        <v>1.0</v>
      </c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6"/>
    </row>
    <row r="59">
      <c r="A59" s="10" t="s">
        <v>59</v>
      </c>
      <c r="B59" s="11">
        <f>SUM(vorodi!B58:Z58)-C59-'151'!C59</f>
        <v>3</v>
      </c>
      <c r="C59" s="12">
        <f t="shared" si="2"/>
        <v>1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3">
        <v>1.0</v>
      </c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6"/>
    </row>
    <row r="60">
      <c r="A60" s="17"/>
      <c r="B60" s="11">
        <f>SUM(vorodi!B59:Z59)-C60-'151'!C60</f>
        <v>0</v>
      </c>
      <c r="C60" s="12">
        <f t="shared" si="2"/>
        <v>0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6"/>
    </row>
    <row r="61">
      <c r="A61" s="17"/>
      <c r="B61" s="11">
        <f>SUM(vorodi!B60:Z60)-C61-'151'!C61</f>
        <v>0</v>
      </c>
      <c r="C61" s="12">
        <f t="shared" si="2"/>
        <v>0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6"/>
    </row>
    <row r="62">
      <c r="A62" s="17"/>
      <c r="B62" s="11">
        <f>SUM(vorodi!B61:Z61)-C62-'151'!C62</f>
        <v>0</v>
      </c>
      <c r="C62" s="12">
        <f t="shared" si="2"/>
        <v>0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6"/>
    </row>
    <row r="63">
      <c r="A63" s="17"/>
      <c r="B63" s="11">
        <f>SUM(vorodi!B62:Z62)-C63-'151'!C63</f>
        <v>0</v>
      </c>
      <c r="C63" s="12">
        <f t="shared" si="2"/>
        <v>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6"/>
    </row>
    <row r="64">
      <c r="A64" s="17"/>
      <c r="B64" s="11">
        <f>SUM(vorodi!B63:Z63)-C64-'151'!C64</f>
        <v>0</v>
      </c>
      <c r="C64" s="12">
        <f t="shared" si="2"/>
        <v>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6"/>
    </row>
    <row r="65">
      <c r="A65" s="17"/>
      <c r="B65" s="11">
        <f>SUM(vorodi!B64:Z64)-C65-'151'!C65</f>
        <v>0</v>
      </c>
      <c r="C65" s="12">
        <f t="shared" si="2"/>
        <v>0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6"/>
    </row>
    <row r="66">
      <c r="A66" s="17"/>
      <c r="B66" s="11">
        <f>SUM(vorodi!B65:Z65)-C66-'151'!C66</f>
        <v>0</v>
      </c>
      <c r="C66" s="12">
        <f t="shared" si="2"/>
        <v>0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6"/>
    </row>
    <row r="67">
      <c r="A67" s="17"/>
      <c r="B67" s="11">
        <f>SUM(vorodi!B66:Z66)-C67-'151'!C67</f>
        <v>0</v>
      </c>
      <c r="C67" s="12">
        <f t="shared" si="2"/>
        <v>0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6"/>
    </row>
    <row r="68">
      <c r="A68" s="17"/>
      <c r="B68" s="11">
        <f>SUM(vorodi!B67:Z67)-C68-'151'!C68</f>
        <v>0</v>
      </c>
      <c r="C68" s="12">
        <f t="shared" si="2"/>
        <v>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6"/>
    </row>
    <row r="69">
      <c r="A69" s="17"/>
      <c r="B69" s="11">
        <f>SUM(vorodi!B68:Z68)-C69-'151'!C69</f>
        <v>0</v>
      </c>
      <c r="C69" s="12">
        <f t="shared" si="2"/>
        <v>0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6"/>
    </row>
    <row r="70">
      <c r="A70" s="17"/>
      <c r="B70" s="11">
        <f>SUM(vorodi!B69:Z69)-C70-'151'!C70</f>
        <v>0</v>
      </c>
      <c r="C70" s="12">
        <f t="shared" si="2"/>
        <v>0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6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6.13"/>
    <col customWidth="1" min="3" max="3" width="6.0"/>
    <col customWidth="1" min="4" max="4" width="5.63"/>
    <col customWidth="1" min="5" max="6" width="4.5"/>
    <col customWidth="1" min="7" max="7" width="4.75"/>
    <col customWidth="1" min="8" max="8" width="4.63"/>
    <col customWidth="1" min="9" max="9" width="5.0"/>
    <col customWidth="1" min="10" max="10" width="4.88"/>
    <col customWidth="1" min="11" max="11" width="5.0"/>
    <col customWidth="1" min="12" max="13" width="4.0"/>
    <col customWidth="1" min="14" max="14" width="4.5"/>
    <col customWidth="1" min="15" max="15" width="4.88"/>
    <col customWidth="1" min="16" max="16" width="4.75"/>
    <col customWidth="1" min="17" max="17" width="4.25"/>
    <col customWidth="1" min="18" max="18" width="4.38"/>
    <col customWidth="1" min="19" max="19" width="4.0"/>
    <col customWidth="1" min="20" max="20" width="4.38"/>
    <col customWidth="1" min="21" max="22" width="4.25"/>
    <col customWidth="1" min="23" max="23" width="3.88"/>
    <col customWidth="1" min="24" max="24" width="4.0"/>
    <col customWidth="1" min="25" max="26" width="4.13"/>
    <col customWidth="1" min="27" max="27" width="3.75"/>
    <col customWidth="1" min="28" max="28" width="4.38"/>
    <col customWidth="1" min="29" max="29" width="4.0"/>
    <col customWidth="1" min="30" max="30" width="3.88"/>
    <col customWidth="1" min="31" max="31" width="4.13"/>
    <col customWidth="1" min="32" max="32" width="4.38"/>
    <col customWidth="1" min="33" max="33" width="3.88"/>
    <col customWidth="1" min="34" max="34" width="4.38"/>
    <col customWidth="1" min="35" max="35" width="4.75"/>
    <col customWidth="1" min="36" max="36" width="4.5"/>
    <col customWidth="1" min="37" max="37" width="4.38"/>
    <col customWidth="1" min="38" max="38" width="6.0"/>
    <col customWidth="1" min="39" max="39" width="4.88"/>
    <col customWidth="1" min="40" max="40" width="6.25"/>
    <col customWidth="1" min="41" max="42" width="5.25"/>
    <col customWidth="1" min="43" max="43" width="5.0"/>
    <col customWidth="1" min="44" max="44" width="5.63"/>
    <col customWidth="1" min="45" max="45" width="5.25"/>
    <col customWidth="1" min="46" max="46" width="4.5"/>
    <col customWidth="1" min="47" max="47" width="4.88"/>
    <col customWidth="1" min="48" max="48" width="4.75"/>
    <col customWidth="1" min="49" max="49" width="5.63"/>
    <col customWidth="1" min="50" max="51" width="4.63"/>
    <col customWidth="1" min="52" max="52" width="4.5"/>
    <col customWidth="1" min="53" max="53" width="4.63"/>
    <col customWidth="1" min="54" max="54" width="4.75"/>
    <col customWidth="1" min="55" max="55" width="4.25"/>
    <col customWidth="1" min="56" max="56" width="5.25"/>
    <col customWidth="1" min="57" max="57" width="4.63"/>
    <col customWidth="1" min="58" max="58" width="5.25"/>
    <col customWidth="1" min="59" max="59" width="4.25"/>
    <col customWidth="1" min="60" max="60" width="4.63"/>
    <col customWidth="1" min="61" max="61" width="4.25"/>
    <col customWidth="1" min="62" max="62" width="5.13"/>
    <col customWidth="1" min="63" max="63" width="5.0"/>
    <col customWidth="1" min="64" max="64" width="5.25"/>
    <col customWidth="1" min="65" max="65" width="4.5"/>
    <col customWidth="1" min="66" max="66" width="4.88"/>
    <col customWidth="1" min="67" max="67" width="4.75"/>
    <col customWidth="1" min="68" max="68" width="5.25"/>
    <col customWidth="1" min="69" max="69" width="4.5"/>
    <col customWidth="1" min="70" max="70" width="4.63"/>
    <col customWidth="1" min="71" max="72" width="4.75"/>
    <col customWidth="1" min="73" max="73" width="5.0"/>
    <col customWidth="1" min="74" max="74" width="4.63"/>
    <col customWidth="1" min="75" max="75" width="4.13"/>
    <col customWidth="1" min="76" max="76" width="5.0"/>
    <col customWidth="1" min="77" max="77" width="4.5"/>
    <col customWidth="1" min="78" max="78" width="5.25"/>
    <col customWidth="1" min="79" max="79" width="5.13"/>
    <col customWidth="1" min="80" max="81" width="4.63"/>
    <col customWidth="1" min="82" max="82" width="4.88"/>
    <col customWidth="1" min="83" max="83" width="4.5"/>
    <col customWidth="1" min="84" max="84" width="4.63"/>
    <col customWidth="1" min="85" max="85" width="5.38"/>
    <col customWidth="1" min="86" max="98" width="5.75"/>
  </cols>
  <sheetData>
    <row r="1">
      <c r="A1" s="19" t="str">
        <f>FB2</f>
        <v/>
      </c>
      <c r="B1" s="20" t="s">
        <v>60</v>
      </c>
      <c r="C1" s="20">
        <f>'168'!C1</f>
        <v>43091</v>
      </c>
      <c r="D1" s="21">
        <f>'168'!D1</f>
        <v>45776</v>
      </c>
      <c r="E1" s="21">
        <f>'168'!E1</f>
        <v>45777</v>
      </c>
      <c r="F1" s="22" t="str">
        <f>'168'!F1</f>
        <v>4/31</v>
      </c>
      <c r="G1" s="21">
        <f>'168'!G1</f>
        <v>45778</v>
      </c>
      <c r="H1" s="21">
        <f>'168'!H1</f>
        <v>45779</v>
      </c>
      <c r="I1" s="21">
        <f>'168'!I1</f>
        <v>45780</v>
      </c>
      <c r="J1" s="21">
        <f>'168'!J1</f>
        <v>45781</v>
      </c>
      <c r="K1" s="21">
        <f>'168'!K1</f>
        <v>45782</v>
      </c>
      <c r="L1" s="21">
        <f>'168'!L1</f>
        <v>45783</v>
      </c>
      <c r="M1" s="21">
        <f>'168'!M1</f>
        <v>45784</v>
      </c>
      <c r="N1" s="21">
        <f>'168'!N1</f>
        <v>45785</v>
      </c>
      <c r="O1" s="21">
        <f>'168'!O1</f>
        <v>45786</v>
      </c>
      <c r="P1" s="21">
        <f>'168'!P1</f>
        <v>45787</v>
      </c>
      <c r="Q1" s="21">
        <f>'168'!Q1</f>
        <v>45788</v>
      </c>
      <c r="R1" s="21">
        <f>'168'!R1</f>
        <v>45789</v>
      </c>
      <c r="S1" s="21">
        <f>'168'!S1</f>
        <v>45790</v>
      </c>
      <c r="T1" s="21">
        <f>'168'!T1</f>
        <v>45791</v>
      </c>
      <c r="U1" s="21">
        <f>'168'!U1</f>
        <v>45792</v>
      </c>
      <c r="V1" s="21">
        <f>'168'!V1</f>
        <v>45793</v>
      </c>
      <c r="W1" s="21">
        <f>'168'!W1</f>
        <v>45794</v>
      </c>
      <c r="X1" s="21">
        <f>'168'!X1</f>
        <v>45795</v>
      </c>
      <c r="Y1" s="21">
        <f>'168'!Y1</f>
        <v>45796</v>
      </c>
      <c r="Z1" s="21">
        <f>'168'!Z1</f>
        <v>45797</v>
      </c>
      <c r="AA1" s="21">
        <f>'168'!AA1</f>
        <v>45798</v>
      </c>
      <c r="AB1" s="21">
        <f>'168'!AB1</f>
        <v>45799</v>
      </c>
      <c r="AC1" s="21">
        <f>'168'!AC1</f>
        <v>45800</v>
      </c>
      <c r="AD1" s="21">
        <f>'168'!AD1</f>
        <v>45801</v>
      </c>
      <c r="AE1" s="21">
        <f>'168'!AE1</f>
        <v>45802</v>
      </c>
      <c r="AF1" s="21">
        <f>'168'!AF1</f>
        <v>45803</v>
      </c>
      <c r="AG1" s="21">
        <f>'168'!AG1</f>
        <v>45804</v>
      </c>
      <c r="AH1" s="21">
        <f>'168'!AH1</f>
        <v>45805</v>
      </c>
      <c r="AI1" s="21">
        <f>'168'!AI1</f>
        <v>45806</v>
      </c>
      <c r="AJ1" s="21">
        <f>'168'!AJ1</f>
        <v>45807</v>
      </c>
      <c r="AK1" s="21">
        <f>'168'!AK1</f>
        <v>45808</v>
      </c>
      <c r="AL1" s="21">
        <f>'168'!AL1</f>
        <v>45809</v>
      </c>
      <c r="AM1" s="21">
        <f>'168'!AM1</f>
        <v>45810</v>
      </c>
      <c r="AN1" s="21">
        <f>'168'!AN1</f>
        <v>45811</v>
      </c>
      <c r="AO1" s="21">
        <f>'168'!AO1</f>
        <v>45812</v>
      </c>
      <c r="AP1" s="21">
        <f>'168'!AP1</f>
        <v>45813</v>
      </c>
      <c r="AQ1" s="21">
        <f>'168'!AQ1</f>
        <v>45814</v>
      </c>
      <c r="AR1" s="21">
        <f>'168'!AR1</f>
        <v>45815</v>
      </c>
      <c r="AS1" s="21">
        <f>'168'!AS1</f>
        <v>45816</v>
      </c>
      <c r="AT1" s="21">
        <f>'168'!AT1</f>
        <v>45817</v>
      </c>
      <c r="AU1" s="21">
        <f>'168'!AU1</f>
        <v>45818</v>
      </c>
      <c r="AV1" s="21">
        <f>'168'!AV1</f>
        <v>45819</v>
      </c>
      <c r="AW1" s="21">
        <f>'168'!AW1</f>
        <v>45820</v>
      </c>
      <c r="AX1" s="21">
        <f>'168'!AX1</f>
        <v>45821</v>
      </c>
      <c r="AY1" s="21">
        <f>'168'!AY1</f>
        <v>45822</v>
      </c>
      <c r="AZ1" s="21">
        <f>'168'!AZ1</f>
        <v>45823</v>
      </c>
      <c r="BA1" s="21">
        <f>'168'!BA1</f>
        <v>45824</v>
      </c>
      <c r="BB1" s="21">
        <f>'168'!BB1</f>
        <v>45825</v>
      </c>
      <c r="BC1" s="21">
        <f>'168'!BC1</f>
        <v>45826</v>
      </c>
      <c r="BD1" s="21">
        <f>'168'!BD1</f>
        <v>45827</v>
      </c>
      <c r="BE1" s="21">
        <f>'168'!BE1</f>
        <v>45828</v>
      </c>
      <c r="BF1" s="21">
        <f>'168'!BF1</f>
        <v>45829</v>
      </c>
      <c r="BG1" s="21">
        <f>'168'!BG1</f>
        <v>45830</v>
      </c>
      <c r="BH1" s="21">
        <f>'168'!BH1</f>
        <v>45831</v>
      </c>
      <c r="BI1" s="21">
        <f>'168'!BI1</f>
        <v>45832</v>
      </c>
      <c r="BJ1" s="21">
        <f>'168'!BJ1</f>
        <v>45833</v>
      </c>
      <c r="BK1" s="21">
        <f>'168'!BK1</f>
        <v>45834</v>
      </c>
      <c r="BL1" s="21">
        <f>'168'!BL1</f>
        <v>45835</v>
      </c>
      <c r="BM1" s="21">
        <f>'168'!BM1</f>
        <v>45836</v>
      </c>
      <c r="BN1" s="21">
        <f>'168'!BN1</f>
        <v>45837</v>
      </c>
      <c r="BO1" s="21">
        <f>'168'!BO1</f>
        <v>45838</v>
      </c>
      <c r="BP1" s="22" t="str">
        <f>'168'!BP1</f>
        <v>6/31</v>
      </c>
      <c r="BQ1" s="21">
        <f>'168'!BQ1</f>
        <v>45839</v>
      </c>
      <c r="BR1" s="21">
        <f>'168'!BR1</f>
        <v>45840</v>
      </c>
      <c r="BS1" s="21">
        <f>'168'!BS1</f>
        <v>45841</v>
      </c>
      <c r="BT1" s="21">
        <f>'168'!BT1</f>
        <v>45842</v>
      </c>
      <c r="BU1" s="21">
        <f>'168'!BU1</f>
        <v>45843</v>
      </c>
      <c r="BV1" s="21">
        <f>'168'!BV1</f>
        <v>45844</v>
      </c>
      <c r="BW1" s="21">
        <f>'168'!BW1</f>
        <v>45845</v>
      </c>
      <c r="BX1" s="21">
        <f>'168'!BX1</f>
        <v>45846</v>
      </c>
      <c r="BY1" s="21">
        <f>'168'!BY1</f>
        <v>45847</v>
      </c>
      <c r="BZ1" s="21">
        <f>'168'!BZ1</f>
        <v>45848</v>
      </c>
      <c r="CA1" s="21">
        <f>'168'!CA1</f>
        <v>45849</v>
      </c>
      <c r="CB1" s="21">
        <f>'168'!CB1</f>
        <v>45850</v>
      </c>
      <c r="CC1" s="21">
        <f>'168'!CC1</f>
        <v>45851</v>
      </c>
      <c r="CD1" s="21">
        <f>'168'!CD1</f>
        <v>45852</v>
      </c>
      <c r="CE1" s="21">
        <f>'168'!CE1</f>
        <v>45853</v>
      </c>
      <c r="CF1" s="21">
        <f>'168'!CF1</f>
        <v>45854</v>
      </c>
      <c r="CG1" s="21">
        <f>'168'!CG1</f>
        <v>45855</v>
      </c>
      <c r="CH1" s="21">
        <f>'168'!CH1</f>
        <v>45856</v>
      </c>
      <c r="CI1" s="21">
        <f>'168'!CI1</f>
        <v>45857</v>
      </c>
      <c r="CJ1" s="21">
        <f>'168'!CJ1</f>
        <v>45858</v>
      </c>
      <c r="CK1" s="21">
        <f>'168'!CK1</f>
        <v>45859</v>
      </c>
      <c r="CL1" s="21">
        <f>'168'!CL1</f>
        <v>45860</v>
      </c>
      <c r="CM1" s="21">
        <f>'168'!CM1</f>
        <v>45861</v>
      </c>
      <c r="CN1" s="21">
        <f>'168'!CN1</f>
        <v>45862</v>
      </c>
      <c r="CO1" s="21">
        <f>'168'!CO1</f>
        <v>45863</v>
      </c>
      <c r="CP1" s="21">
        <f>'168'!CP1</f>
        <v>45864</v>
      </c>
      <c r="CQ1" s="21">
        <f>'168'!CQ1</f>
        <v>45865</v>
      </c>
      <c r="CR1" s="21">
        <f>'168'!CR1</f>
        <v>45866</v>
      </c>
      <c r="CS1" s="21">
        <f>'168'!CS1</f>
        <v>45867</v>
      </c>
      <c r="CT1" s="21">
        <f>'168'!CT1</f>
        <v>45868</v>
      </c>
    </row>
    <row r="2">
      <c r="A2" s="23" t="s">
        <v>3</v>
      </c>
      <c r="B2" s="24"/>
      <c r="C2" s="8">
        <f t="shared" ref="C2:C60" si="2">sum(D2:CT2)</f>
        <v>172</v>
      </c>
      <c r="D2" s="8">
        <f t="shared" ref="D2:CT2" si="1">sum(D3:D70)</f>
        <v>1</v>
      </c>
      <c r="E2" s="8">
        <f t="shared" si="1"/>
        <v>0</v>
      </c>
      <c r="F2" s="8">
        <f t="shared" si="1"/>
        <v>3</v>
      </c>
      <c r="G2" s="8">
        <f t="shared" si="1"/>
        <v>2</v>
      </c>
      <c r="H2" s="8">
        <f t="shared" si="1"/>
        <v>3</v>
      </c>
      <c r="I2" s="8">
        <f t="shared" si="1"/>
        <v>1</v>
      </c>
      <c r="J2" s="8">
        <f t="shared" si="1"/>
        <v>0</v>
      </c>
      <c r="K2" s="8">
        <f t="shared" si="1"/>
        <v>1</v>
      </c>
      <c r="L2" s="8">
        <f t="shared" si="1"/>
        <v>1</v>
      </c>
      <c r="M2" s="8">
        <f t="shared" si="1"/>
        <v>3</v>
      </c>
      <c r="N2" s="8">
        <f t="shared" si="1"/>
        <v>2</v>
      </c>
      <c r="O2" s="8">
        <f t="shared" si="1"/>
        <v>4</v>
      </c>
      <c r="P2" s="8">
        <f t="shared" si="1"/>
        <v>2</v>
      </c>
      <c r="Q2" s="8">
        <f t="shared" si="1"/>
        <v>3</v>
      </c>
      <c r="R2" s="8">
        <f t="shared" si="1"/>
        <v>0</v>
      </c>
      <c r="S2" s="8">
        <f t="shared" si="1"/>
        <v>1</v>
      </c>
      <c r="T2" s="8">
        <f t="shared" si="1"/>
        <v>3</v>
      </c>
      <c r="U2" s="8">
        <f t="shared" si="1"/>
        <v>0</v>
      </c>
      <c r="V2" s="8">
        <f t="shared" si="1"/>
        <v>5</v>
      </c>
      <c r="W2" s="8">
        <f t="shared" si="1"/>
        <v>3</v>
      </c>
      <c r="X2" s="8">
        <f t="shared" si="1"/>
        <v>2</v>
      </c>
      <c r="Y2" s="8">
        <f t="shared" si="1"/>
        <v>1</v>
      </c>
      <c r="Z2" s="8">
        <f t="shared" si="1"/>
        <v>0</v>
      </c>
      <c r="AA2" s="8">
        <f t="shared" si="1"/>
        <v>1</v>
      </c>
      <c r="AB2" s="8">
        <f t="shared" si="1"/>
        <v>1</v>
      </c>
      <c r="AC2" s="8">
        <f t="shared" si="1"/>
        <v>0</v>
      </c>
      <c r="AD2" s="8">
        <f t="shared" si="1"/>
        <v>2</v>
      </c>
      <c r="AE2" s="8">
        <f t="shared" si="1"/>
        <v>1</v>
      </c>
      <c r="AF2" s="8">
        <f t="shared" si="1"/>
        <v>0</v>
      </c>
      <c r="AG2" s="8">
        <f t="shared" si="1"/>
        <v>1</v>
      </c>
      <c r="AH2" s="8">
        <f t="shared" si="1"/>
        <v>3</v>
      </c>
      <c r="AI2" s="8">
        <f t="shared" si="1"/>
        <v>1</v>
      </c>
      <c r="AJ2" s="8">
        <f t="shared" si="1"/>
        <v>3</v>
      </c>
      <c r="AK2" s="8">
        <f t="shared" si="1"/>
        <v>1</v>
      </c>
      <c r="AL2" s="8">
        <f t="shared" si="1"/>
        <v>2</v>
      </c>
      <c r="AM2" s="8">
        <f t="shared" si="1"/>
        <v>0</v>
      </c>
      <c r="AN2" s="8">
        <f t="shared" si="1"/>
        <v>0</v>
      </c>
      <c r="AO2" s="8">
        <f t="shared" si="1"/>
        <v>0</v>
      </c>
      <c r="AP2" s="8">
        <f t="shared" si="1"/>
        <v>1</v>
      </c>
      <c r="AQ2" s="8">
        <f t="shared" si="1"/>
        <v>2</v>
      </c>
      <c r="AR2" s="8">
        <f t="shared" si="1"/>
        <v>0</v>
      </c>
      <c r="AS2" s="8">
        <f t="shared" si="1"/>
        <v>1</v>
      </c>
      <c r="AT2" s="8">
        <f t="shared" si="1"/>
        <v>1</v>
      </c>
      <c r="AU2" s="8">
        <f t="shared" si="1"/>
        <v>9</v>
      </c>
      <c r="AV2" s="8">
        <f t="shared" si="1"/>
        <v>4</v>
      </c>
      <c r="AW2" s="8">
        <f t="shared" si="1"/>
        <v>1</v>
      </c>
      <c r="AX2" s="8">
        <f t="shared" si="1"/>
        <v>2</v>
      </c>
      <c r="AY2" s="8">
        <f t="shared" si="1"/>
        <v>0</v>
      </c>
      <c r="AZ2" s="8">
        <f t="shared" si="1"/>
        <v>4</v>
      </c>
      <c r="BA2" s="8">
        <f t="shared" si="1"/>
        <v>2</v>
      </c>
      <c r="BB2" s="8">
        <f t="shared" si="1"/>
        <v>1</v>
      </c>
      <c r="BC2" s="8">
        <f t="shared" si="1"/>
        <v>3</v>
      </c>
      <c r="BD2" s="8">
        <f t="shared" si="1"/>
        <v>0</v>
      </c>
      <c r="BE2" s="8">
        <f t="shared" si="1"/>
        <v>2</v>
      </c>
      <c r="BF2" s="8">
        <f t="shared" si="1"/>
        <v>1</v>
      </c>
      <c r="BG2" s="8">
        <f t="shared" si="1"/>
        <v>3</v>
      </c>
      <c r="BH2" s="8">
        <f t="shared" si="1"/>
        <v>4</v>
      </c>
      <c r="BI2" s="8">
        <f t="shared" si="1"/>
        <v>1</v>
      </c>
      <c r="BJ2" s="8">
        <f t="shared" si="1"/>
        <v>4</v>
      </c>
      <c r="BK2" s="8">
        <f t="shared" si="1"/>
        <v>3</v>
      </c>
      <c r="BL2" s="8">
        <f t="shared" si="1"/>
        <v>5</v>
      </c>
      <c r="BM2" s="8">
        <f t="shared" si="1"/>
        <v>1</v>
      </c>
      <c r="BN2" s="8">
        <f t="shared" si="1"/>
        <v>2</v>
      </c>
      <c r="BO2" s="8">
        <f t="shared" si="1"/>
        <v>3</v>
      </c>
      <c r="BP2" s="8">
        <f t="shared" si="1"/>
        <v>0</v>
      </c>
      <c r="BQ2" s="8">
        <f t="shared" si="1"/>
        <v>2</v>
      </c>
      <c r="BR2" s="8">
        <f t="shared" si="1"/>
        <v>1</v>
      </c>
      <c r="BS2" s="8">
        <f t="shared" si="1"/>
        <v>2</v>
      </c>
      <c r="BT2" s="8">
        <f t="shared" si="1"/>
        <v>6</v>
      </c>
      <c r="BU2" s="8">
        <f t="shared" si="1"/>
        <v>3</v>
      </c>
      <c r="BV2" s="8">
        <f t="shared" si="1"/>
        <v>5</v>
      </c>
      <c r="BW2" s="8">
        <f t="shared" si="1"/>
        <v>2</v>
      </c>
      <c r="BX2" s="8">
        <f t="shared" si="1"/>
        <v>4</v>
      </c>
      <c r="BY2" s="8">
        <f t="shared" si="1"/>
        <v>2</v>
      </c>
      <c r="BZ2" s="8">
        <f t="shared" si="1"/>
        <v>2</v>
      </c>
      <c r="CA2" s="8">
        <f t="shared" si="1"/>
        <v>2</v>
      </c>
      <c r="CB2" s="8">
        <f t="shared" si="1"/>
        <v>2</v>
      </c>
      <c r="CC2" s="8">
        <f t="shared" si="1"/>
        <v>4</v>
      </c>
      <c r="CD2" s="8">
        <f t="shared" si="1"/>
        <v>2</v>
      </c>
      <c r="CE2" s="8">
        <f t="shared" si="1"/>
        <v>2</v>
      </c>
      <c r="CF2" s="8">
        <f t="shared" si="1"/>
        <v>4</v>
      </c>
      <c r="CG2" s="8">
        <f t="shared" si="1"/>
        <v>4</v>
      </c>
      <c r="CH2" s="8">
        <f t="shared" si="1"/>
        <v>3</v>
      </c>
      <c r="CI2" s="8">
        <f t="shared" si="1"/>
        <v>1</v>
      </c>
      <c r="CJ2" s="8">
        <f t="shared" si="1"/>
        <v>1</v>
      </c>
      <c r="CK2" s="8">
        <f t="shared" si="1"/>
        <v>1</v>
      </c>
      <c r="CL2" s="8">
        <f t="shared" si="1"/>
        <v>0</v>
      </c>
      <c r="CM2" s="8">
        <f t="shared" si="1"/>
        <v>0</v>
      </c>
      <c r="CN2" s="8">
        <f t="shared" si="1"/>
        <v>0</v>
      </c>
      <c r="CO2" s="8">
        <f t="shared" si="1"/>
        <v>0</v>
      </c>
      <c r="CP2" s="8">
        <f t="shared" si="1"/>
        <v>0</v>
      </c>
      <c r="CQ2" s="8">
        <f t="shared" si="1"/>
        <v>0</v>
      </c>
      <c r="CR2" s="8">
        <f t="shared" si="1"/>
        <v>0</v>
      </c>
      <c r="CS2" s="8">
        <f t="shared" si="1"/>
        <v>0</v>
      </c>
      <c r="CT2" s="8">
        <f t="shared" si="1"/>
        <v>0</v>
      </c>
    </row>
    <row r="3">
      <c r="A3" s="17" t="str">
        <f>'168'!A3</f>
        <v>فندی رضا</v>
      </c>
      <c r="B3" s="11">
        <f>'168'!B3</f>
        <v>0</v>
      </c>
      <c r="C3" s="12">
        <f t="shared" si="2"/>
        <v>2</v>
      </c>
      <c r="D3" s="25"/>
      <c r="E3" s="25"/>
      <c r="F3" s="25"/>
      <c r="G3" s="26"/>
      <c r="H3" s="26">
        <v>1.0</v>
      </c>
      <c r="I3" s="25"/>
      <c r="J3" s="25"/>
      <c r="K3" s="25"/>
      <c r="L3" s="25"/>
      <c r="M3" s="25"/>
      <c r="N3" s="25"/>
      <c r="O3" s="26">
        <v>1.0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</row>
    <row r="4">
      <c r="A4" s="17" t="str">
        <f>'168'!A4</f>
        <v>هوتیک سه سگک رضا</v>
      </c>
      <c r="B4" s="11">
        <f>'168'!B4</f>
        <v>1</v>
      </c>
      <c r="C4" s="12">
        <f t="shared" si="2"/>
        <v>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</row>
    <row r="5">
      <c r="A5" s="17" t="str">
        <f>'168'!A5</f>
        <v>هرمس تخت رضا</v>
      </c>
      <c r="B5" s="11">
        <f>'168'!B5</f>
        <v>1</v>
      </c>
      <c r="C5" s="12">
        <f t="shared" si="2"/>
        <v>3</v>
      </c>
      <c r="D5" s="26">
        <v>1.0</v>
      </c>
      <c r="E5" s="25"/>
      <c r="F5" s="25"/>
      <c r="G5" s="25"/>
      <c r="H5" s="25"/>
      <c r="I5" s="25"/>
      <c r="J5" s="25"/>
      <c r="K5" s="25"/>
      <c r="L5" s="25"/>
      <c r="M5" s="26">
        <v>1.0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>
        <v>1.0</v>
      </c>
      <c r="AJ5" s="25"/>
      <c r="AK5" s="25"/>
      <c r="AL5" s="25"/>
      <c r="AM5" s="25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</row>
    <row r="6">
      <c r="A6" s="17" t="str">
        <f>'168'!A6</f>
        <v>زارا جلو بسته رضا</v>
      </c>
      <c r="B6" s="11">
        <f>'168'!B6</f>
        <v>0</v>
      </c>
      <c r="C6" s="12">
        <f t="shared" si="2"/>
        <v>6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6">
        <v>1.0</v>
      </c>
      <c r="P6" s="25"/>
      <c r="Q6" s="26">
        <v>1.0</v>
      </c>
      <c r="R6" s="25"/>
      <c r="S6" s="26">
        <v>1.0</v>
      </c>
      <c r="T6" s="25"/>
      <c r="U6" s="25"/>
      <c r="V6" s="26">
        <v>2.0</v>
      </c>
      <c r="W6" s="25"/>
      <c r="X6" s="26">
        <v>1.0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14"/>
      <c r="AO6" s="14"/>
      <c r="AP6" s="14"/>
      <c r="AQ6" s="13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</row>
    <row r="7">
      <c r="A7" s="17" t="str">
        <f>'168'!A7</f>
        <v>دو سگک ویزون رضا</v>
      </c>
      <c r="B7" s="11">
        <f>'168'!B7</f>
        <v>0</v>
      </c>
      <c r="C7" s="12">
        <f t="shared" si="2"/>
        <v>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</row>
    <row r="8">
      <c r="A8" s="17" t="str">
        <f>'168'!A9</f>
        <v>هرمس رکابدار پیام</v>
      </c>
      <c r="B8" s="11">
        <f>'168'!B9</f>
        <v>5</v>
      </c>
      <c r="C8" s="12">
        <f t="shared" si="2"/>
        <v>3</v>
      </c>
      <c r="D8" s="25"/>
      <c r="E8" s="26"/>
      <c r="F8" s="25"/>
      <c r="G8" s="25"/>
      <c r="H8" s="26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>
        <v>1.0</v>
      </c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>
        <v>1.0</v>
      </c>
      <c r="AH8" s="25"/>
      <c r="AI8" s="25"/>
      <c r="AJ8" s="25"/>
      <c r="AK8" s="26">
        <v>1.0</v>
      </c>
      <c r="AL8" s="25"/>
      <c r="AM8" s="25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</row>
    <row r="9">
      <c r="A9" s="17" t="str">
        <f>'168'!A10</f>
        <v>هرمس چسبی پیام</v>
      </c>
      <c r="B9" s="11">
        <f>'168'!B10</f>
        <v>-4</v>
      </c>
      <c r="C9" s="12">
        <f t="shared" si="2"/>
        <v>7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>
        <v>1.0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6">
        <v>1.0</v>
      </c>
      <c r="AK9" s="25"/>
      <c r="AL9" s="25"/>
      <c r="AM9" s="25"/>
      <c r="AN9" s="14"/>
      <c r="AO9" s="14"/>
      <c r="AP9" s="14"/>
      <c r="AQ9" s="14"/>
      <c r="AR9" s="14"/>
      <c r="AS9" s="13">
        <v>1.0</v>
      </c>
      <c r="AT9" s="14"/>
      <c r="AU9" s="13">
        <v>1.0</v>
      </c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3">
        <v>1.0</v>
      </c>
      <c r="BI9" s="14"/>
      <c r="BJ9" s="14"/>
      <c r="BK9" s="13">
        <v>1.0</v>
      </c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3">
        <v>1.0</v>
      </c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</row>
    <row r="10">
      <c r="A10" s="17" t="str">
        <f>'168'!A11</f>
        <v>سه بند زارا پیام</v>
      </c>
      <c r="B10" s="11">
        <f>'168'!B11</f>
        <v>0</v>
      </c>
      <c r="C10" s="12">
        <f t="shared" si="2"/>
        <v>1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>
        <v>1.0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</row>
    <row r="11">
      <c r="A11" s="17" t="str">
        <f>'168'!A12</f>
        <v>دو سگک زارا پیام</v>
      </c>
      <c r="B11" s="11">
        <f>'168'!B12</f>
        <v>0</v>
      </c>
      <c r="C11" s="12">
        <f t="shared" si="2"/>
        <v>4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6"/>
      <c r="W11" s="25"/>
      <c r="X11" s="25"/>
      <c r="Y11" s="25"/>
      <c r="Z11" s="25"/>
      <c r="AA11" s="25"/>
      <c r="AB11" s="26">
        <v>1.0</v>
      </c>
      <c r="AC11" s="25"/>
      <c r="AD11" s="26">
        <v>1.0</v>
      </c>
      <c r="AE11" s="25"/>
      <c r="AF11" s="25"/>
      <c r="AG11" s="25"/>
      <c r="AH11" s="26">
        <v>1.0</v>
      </c>
      <c r="AI11" s="25"/>
      <c r="AJ11" s="25"/>
      <c r="AK11" s="25"/>
      <c r="AL11" s="25"/>
      <c r="AM11" s="25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3">
        <v>1.0</v>
      </c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</row>
    <row r="12">
      <c r="A12" s="17" t="str">
        <f>'168'!A8</f>
        <v>استرادیواریوس جلو بسته رضا</v>
      </c>
      <c r="B12" s="11">
        <f>'168'!B8</f>
        <v>0</v>
      </c>
      <c r="C12" s="12">
        <f t="shared" si="2"/>
        <v>1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14"/>
      <c r="AO12" s="14"/>
      <c r="AP12" s="14"/>
      <c r="AQ12" s="13">
        <v>1.0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</row>
    <row r="13">
      <c r="A13" s="17" t="str">
        <f>'168'!A13</f>
        <v>تک سگک پهن پیام</v>
      </c>
      <c r="B13" s="11">
        <f>'168'!B13</f>
        <v>2</v>
      </c>
      <c r="C13" s="12">
        <f t="shared" si="2"/>
        <v>5</v>
      </c>
      <c r="D13" s="26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6">
        <v>1.0</v>
      </c>
      <c r="X13" s="26">
        <v>1.0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14"/>
      <c r="AO13" s="14"/>
      <c r="AP13" s="14"/>
      <c r="AQ13" s="14"/>
      <c r="AR13" s="14"/>
      <c r="AS13" s="14"/>
      <c r="AT13" s="13">
        <v>1.0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3">
        <v>1.0</v>
      </c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3">
        <v>1.0</v>
      </c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</row>
    <row r="14">
      <c r="A14" s="17" t="str">
        <f>'168'!A14</f>
        <v>دو سگک قفل دار پیام</v>
      </c>
      <c r="B14" s="11">
        <f>'168'!B14</f>
        <v>-3</v>
      </c>
      <c r="C14" s="12">
        <f t="shared" si="2"/>
        <v>3</v>
      </c>
      <c r="D14" s="26"/>
      <c r="E14" s="26"/>
      <c r="F14" s="26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  <c r="W14" s="25"/>
      <c r="X14" s="25"/>
      <c r="Y14" s="25"/>
      <c r="Z14" s="25"/>
      <c r="AA14" s="25"/>
      <c r="AB14" s="26"/>
      <c r="AC14" s="25"/>
      <c r="AD14" s="25"/>
      <c r="AE14" s="25"/>
      <c r="AF14" s="25"/>
      <c r="AG14" s="25"/>
      <c r="AH14" s="25"/>
      <c r="AI14" s="25"/>
      <c r="AJ14" s="25"/>
      <c r="AK14" s="25"/>
      <c r="AL14" s="26">
        <v>1.0</v>
      </c>
      <c r="AM14" s="25"/>
      <c r="AN14" s="14"/>
      <c r="AO14" s="14"/>
      <c r="AP14" s="14"/>
      <c r="AQ14" s="14"/>
      <c r="AR14" s="14"/>
      <c r="AS14" s="14"/>
      <c r="AT14" s="14"/>
      <c r="AU14" s="14"/>
      <c r="AV14" s="13">
        <v>1.0</v>
      </c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3">
        <v>1.0</v>
      </c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</row>
    <row r="15">
      <c r="A15" s="17" t="str">
        <f>'168'!A15</f>
        <v>دو سگک زیره کنف پیام</v>
      </c>
      <c r="B15" s="11">
        <f>'168'!B15</f>
        <v>0</v>
      </c>
      <c r="C15" s="12">
        <f t="shared" si="2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</row>
    <row r="16">
      <c r="A16" s="17" t="str">
        <f>'168'!A16</f>
        <v>کنفی لژ بلند پیام</v>
      </c>
      <c r="B16" s="11">
        <f>'168'!B16</f>
        <v>0</v>
      </c>
      <c r="C16" s="12">
        <f t="shared" si="2"/>
        <v>1</v>
      </c>
      <c r="D16" s="25"/>
      <c r="E16" s="25"/>
      <c r="F16" s="25"/>
      <c r="G16" s="25"/>
      <c r="H16" s="25"/>
      <c r="I16" s="25"/>
      <c r="J16" s="25"/>
      <c r="K16" s="25"/>
      <c r="L16" s="25"/>
      <c r="M16" s="26">
        <v>1.0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</row>
    <row r="17">
      <c r="A17" s="17" t="str">
        <f>'168'!A17</f>
        <v>دو سگک منگنه‌ای پیام</v>
      </c>
      <c r="B17" s="11">
        <f>'168'!B17</f>
        <v>2</v>
      </c>
      <c r="C17" s="12">
        <f t="shared" si="2"/>
        <v>3</v>
      </c>
      <c r="D17" s="25"/>
      <c r="E17" s="25"/>
      <c r="F17" s="26">
        <v>1.0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6">
        <v>1.0</v>
      </c>
      <c r="W17" s="25"/>
      <c r="X17" s="25"/>
      <c r="Y17" s="26">
        <v>1.0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</row>
    <row r="18">
      <c r="A18" s="17" t="str">
        <f>'168'!A18</f>
        <v>گیوه گیپوری پوریا</v>
      </c>
      <c r="B18" s="11">
        <f>'168'!B18</f>
        <v>1</v>
      </c>
      <c r="C18" s="12">
        <f t="shared" si="2"/>
        <v>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</row>
    <row r="19">
      <c r="A19" s="17" t="str">
        <f>'168'!A19</f>
        <v>دو سگک جلو مربعی پوریا</v>
      </c>
      <c r="B19" s="11">
        <f>'168'!B19</f>
        <v>1</v>
      </c>
      <c r="C19" s="12">
        <f t="shared" si="2"/>
        <v>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</row>
    <row r="20">
      <c r="A20" s="17" t="str">
        <f>'168'!A20</f>
        <v>میو میو پوریا</v>
      </c>
      <c r="B20" s="11">
        <f>'168'!B20</f>
        <v>1</v>
      </c>
      <c r="C20" s="12">
        <f t="shared" si="2"/>
        <v>1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6">
        <v>1.0</v>
      </c>
      <c r="AF20" s="25"/>
      <c r="AG20" s="25"/>
      <c r="AH20" s="25"/>
      <c r="AI20" s="25"/>
      <c r="AJ20" s="25"/>
      <c r="AK20" s="25"/>
      <c r="AL20" s="25"/>
      <c r="AM20" s="25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</row>
    <row r="21">
      <c r="A21" s="17" t="str">
        <f>'168'!A21</f>
        <v>صندل جوکر پوریا</v>
      </c>
      <c r="B21" s="11">
        <f>'168'!B21</f>
        <v>0</v>
      </c>
      <c r="C21" s="12">
        <f t="shared" si="2"/>
        <v>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</row>
    <row r="22">
      <c r="A22" s="17" t="str">
        <f>'168'!A22</f>
        <v>زارا لژ بزرگ پوریا</v>
      </c>
      <c r="B22" s="11">
        <f>'168'!B22</f>
        <v>-1</v>
      </c>
      <c r="C22" s="12">
        <f t="shared" si="2"/>
        <v>1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3">
        <v>1.0</v>
      </c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</row>
    <row r="23">
      <c r="A23" s="17" t="str">
        <f>'168'!A23</f>
        <v>هرمس دور مچ مصطفی</v>
      </c>
      <c r="B23" s="11">
        <f>'168'!B23</f>
        <v>1</v>
      </c>
      <c r="C23" s="12">
        <f t="shared" si="2"/>
        <v>2</v>
      </c>
      <c r="D23" s="25"/>
      <c r="E23" s="25"/>
      <c r="F23" s="26">
        <v>1.0</v>
      </c>
      <c r="G23" s="25"/>
      <c r="H23" s="25"/>
      <c r="I23" s="25"/>
      <c r="J23" s="25"/>
      <c r="K23" s="25"/>
      <c r="L23" s="26">
        <v>1.0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</row>
    <row r="24">
      <c r="A24" s="17" t="str">
        <f>'168'!A24</f>
        <v>سه چسب مصطفی</v>
      </c>
      <c r="B24" s="11">
        <f>'168'!B24</f>
        <v>2</v>
      </c>
      <c r="C24" s="12">
        <f t="shared" si="2"/>
        <v>0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</row>
    <row r="25">
      <c r="A25" s="17" t="str">
        <f>'168'!A25</f>
        <v>دوپایی ضربدری مصطفی</v>
      </c>
      <c r="B25" s="11">
        <f>'168'!B25</f>
        <v>1</v>
      </c>
      <c r="C25" s="12">
        <f t="shared" si="2"/>
        <v>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</row>
    <row r="26">
      <c r="A26" s="17" t="str">
        <f>'168'!A26</f>
        <v>دمپایی دو چسب مصطفی</v>
      </c>
      <c r="B26" s="11">
        <f>'168'!B26</f>
        <v>1</v>
      </c>
      <c r="C26" s="12">
        <f t="shared" si="2"/>
        <v>1</v>
      </c>
      <c r="D26" s="25"/>
      <c r="E26" s="25"/>
      <c r="F26" s="26"/>
      <c r="G26" s="26">
        <v>1.0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</row>
    <row r="27">
      <c r="A27" s="17" t="str">
        <f>'168'!A27</f>
        <v>پاشنه شیشه‌ای</v>
      </c>
      <c r="B27" s="11">
        <f>'168'!B27</f>
        <v>1</v>
      </c>
      <c r="C27" s="12">
        <f t="shared" si="2"/>
        <v>4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>
        <v>2.0</v>
      </c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14"/>
      <c r="AO27" s="14"/>
      <c r="AP27" s="14"/>
      <c r="AQ27" s="14"/>
      <c r="AR27" s="14"/>
      <c r="AS27" s="14"/>
      <c r="AT27" s="14"/>
      <c r="AU27" s="14"/>
      <c r="AV27" s="13">
        <v>1.0</v>
      </c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3">
        <v>1.0</v>
      </c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</row>
    <row r="28">
      <c r="A28" s="17" t="str">
        <f>'168'!A28</f>
        <v>پاشنه۵سانت دو سگک</v>
      </c>
      <c r="B28" s="11">
        <f>'168'!B28</f>
        <v>4</v>
      </c>
      <c r="C28" s="12">
        <f t="shared" si="2"/>
        <v>0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14"/>
      <c r="AO28" s="14"/>
      <c r="AP28" s="14"/>
      <c r="AQ28" s="14"/>
      <c r="AR28" s="14"/>
      <c r="AS28" s="14"/>
      <c r="AT28" s="14"/>
      <c r="AU28" s="13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</row>
    <row r="29">
      <c r="A29" s="17" t="str">
        <f>'168'!A29</f>
        <v>پاشنه چوبی هرمس</v>
      </c>
      <c r="B29" s="11">
        <f>'168'!B29</f>
        <v>4</v>
      </c>
      <c r="C29" s="12">
        <f t="shared" si="2"/>
        <v>2</v>
      </c>
      <c r="D29" s="25"/>
      <c r="E29" s="25"/>
      <c r="F29" s="25"/>
      <c r="G29" s="25"/>
      <c r="H29" s="25"/>
      <c r="I29" s="26">
        <v>1.0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6">
        <v>1.0</v>
      </c>
      <c r="AE29" s="25"/>
      <c r="AF29" s="25"/>
      <c r="AG29" s="25"/>
      <c r="AH29" s="25"/>
      <c r="AI29" s="25"/>
      <c r="AJ29" s="25"/>
      <c r="AK29" s="25"/>
      <c r="AL29" s="25"/>
      <c r="AM29" s="25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</row>
    <row r="30">
      <c r="A30" s="17" t="str">
        <f>'168'!A30</f>
        <v>کتونی مکویین</v>
      </c>
      <c r="B30" s="11">
        <f>'168'!B30</f>
        <v>2</v>
      </c>
      <c r="C30" s="12">
        <f t="shared" si="2"/>
        <v>3</v>
      </c>
      <c r="D30" s="25"/>
      <c r="E30" s="25"/>
      <c r="F30" s="25"/>
      <c r="G30" s="25"/>
      <c r="H30" s="25"/>
      <c r="I30" s="25"/>
      <c r="J30" s="25"/>
      <c r="K30" s="26">
        <v>1.0</v>
      </c>
      <c r="L30" s="25"/>
      <c r="M30" s="25"/>
      <c r="N30" s="26">
        <v>1.0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>
        <v>1.0</v>
      </c>
      <c r="AK30" s="25"/>
      <c r="AL30" s="25"/>
      <c r="AM30" s="25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</row>
    <row r="31">
      <c r="A31" s="17" t="str">
        <f>'168'!A31</f>
        <v>ونس یرفا</v>
      </c>
      <c r="B31" s="11">
        <f>'168'!B31</f>
        <v>10</v>
      </c>
      <c r="C31" s="12">
        <f t="shared" si="2"/>
        <v>7</v>
      </c>
      <c r="D31" s="25"/>
      <c r="E31" s="25"/>
      <c r="F31" s="26"/>
      <c r="G31" s="26"/>
      <c r="H31" s="26">
        <v>1.0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3">
        <v>1.0</v>
      </c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3">
        <v>1.0</v>
      </c>
      <c r="BO31" s="14"/>
      <c r="BP31" s="14"/>
      <c r="BQ31" s="14"/>
      <c r="BR31" s="14"/>
      <c r="BS31" s="14"/>
      <c r="BT31" s="14"/>
      <c r="BU31" s="14"/>
      <c r="BV31" s="14"/>
      <c r="BW31" s="14"/>
      <c r="BX31" s="13">
        <v>1.0</v>
      </c>
      <c r="BY31" s="14"/>
      <c r="BZ31" s="14"/>
      <c r="CA31" s="14"/>
      <c r="CB31" s="14"/>
      <c r="CC31" s="14"/>
      <c r="CD31" s="14"/>
      <c r="CE31" s="13">
        <v>1.0</v>
      </c>
      <c r="CF31" s="14"/>
      <c r="CG31" s="13">
        <v>1.0</v>
      </c>
      <c r="CH31" s="13">
        <v>1.0</v>
      </c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</row>
    <row r="32">
      <c r="A32" s="17" t="str">
        <f>'168'!A32</f>
        <v>کتونی زارا پوریا</v>
      </c>
      <c r="B32" s="11">
        <f>'168'!B32</f>
        <v>-1</v>
      </c>
      <c r="C32" s="12">
        <f t="shared" si="2"/>
        <v>10</v>
      </c>
      <c r="D32" s="25"/>
      <c r="E32" s="25"/>
      <c r="F32" s="25"/>
      <c r="G32" s="26"/>
      <c r="H32" s="26">
        <v>1.0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6">
        <v>1.0</v>
      </c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3">
        <v>1.0</v>
      </c>
      <c r="BI32" s="14"/>
      <c r="BJ32" s="14"/>
      <c r="BK32" s="13">
        <v>2.0</v>
      </c>
      <c r="BL32" s="13">
        <v>1.0</v>
      </c>
      <c r="BM32" s="14"/>
      <c r="BN32" s="14"/>
      <c r="BO32" s="14"/>
      <c r="BP32" s="14"/>
      <c r="BQ32" s="14"/>
      <c r="BR32" s="14"/>
      <c r="BS32" s="14"/>
      <c r="BT32" s="13">
        <v>1.0</v>
      </c>
      <c r="BU32" s="13">
        <v>2.0</v>
      </c>
      <c r="BV32" s="13">
        <v>1.0</v>
      </c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</row>
    <row r="33">
      <c r="A33" s="17" t="str">
        <f>'168'!A33</f>
        <v>کتونی مرواریدی پوریا</v>
      </c>
      <c r="B33" s="11">
        <f>'168'!B33</f>
        <v>-1</v>
      </c>
      <c r="C33" s="12">
        <f t="shared" si="2"/>
        <v>4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6">
        <v>1.0</v>
      </c>
      <c r="AB33" s="25"/>
      <c r="AC33" s="25"/>
      <c r="AD33" s="25"/>
      <c r="AE33" s="25"/>
      <c r="AF33" s="25"/>
      <c r="AG33" s="25"/>
      <c r="AH33" s="26">
        <v>1.0</v>
      </c>
      <c r="AI33" s="25"/>
      <c r="AJ33" s="25"/>
      <c r="AK33" s="25"/>
      <c r="AL33" s="25"/>
      <c r="AM33" s="25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3">
        <v>1.0</v>
      </c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3">
        <v>1.0</v>
      </c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</row>
    <row r="34">
      <c r="A34" s="17" t="str">
        <f>'168'!A34</f>
        <v>کتونی سلین پوریا</v>
      </c>
      <c r="B34" s="11">
        <f>'168'!B34</f>
        <v>5</v>
      </c>
      <c r="C34" s="12">
        <f t="shared" si="2"/>
        <v>7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6">
        <v>1.0</v>
      </c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6">
        <v>1.0</v>
      </c>
      <c r="AK34" s="25"/>
      <c r="AL34" s="25"/>
      <c r="AM34" s="25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3">
        <v>1.0</v>
      </c>
      <c r="BA34" s="14"/>
      <c r="BB34" s="13">
        <v>1.0</v>
      </c>
      <c r="BC34" s="14"/>
      <c r="BD34" s="14"/>
      <c r="BE34" s="14"/>
      <c r="BF34" s="13">
        <v>1.0</v>
      </c>
      <c r="BG34" s="14"/>
      <c r="BH34" s="13">
        <v>1.0</v>
      </c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3">
        <v>1.0</v>
      </c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</row>
    <row r="35">
      <c r="A35" s="17" t="str">
        <f>'168'!A35</f>
        <v>صندل کتونی بالنسیاگا</v>
      </c>
      <c r="B35" s="11">
        <f>'168'!B35</f>
        <v>1</v>
      </c>
      <c r="C35" s="12">
        <f t="shared" si="2"/>
        <v>1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3">
        <v>1.0</v>
      </c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</row>
    <row r="36">
      <c r="A36" s="17" t="str">
        <f>'168'!A36</f>
        <v>ونس برشکا ساده پیام</v>
      </c>
      <c r="B36" s="11">
        <f>'168'!B36</f>
        <v>10</v>
      </c>
      <c r="C36" s="12">
        <f t="shared" si="2"/>
        <v>4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3">
        <v>1.0</v>
      </c>
      <c r="BM36" s="14"/>
      <c r="BN36" s="14"/>
      <c r="BO36" s="13">
        <v>1.0</v>
      </c>
      <c r="BP36" s="14"/>
      <c r="BQ36" s="13">
        <v>1.0</v>
      </c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3">
        <v>1.0</v>
      </c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</row>
    <row r="37">
      <c r="A37" s="17" t="str">
        <f>'168'!A37</f>
        <v>کتونی نیو بالانس پوریا</v>
      </c>
      <c r="B37" s="11">
        <f>'168'!B37</f>
        <v>1</v>
      </c>
      <c r="C37" s="12">
        <f t="shared" si="2"/>
        <v>8</v>
      </c>
      <c r="D37" s="25"/>
      <c r="E37" s="25"/>
      <c r="F37" s="26"/>
      <c r="G37" s="26">
        <v>1.0</v>
      </c>
      <c r="H37" s="25"/>
      <c r="I37" s="25"/>
      <c r="J37" s="25"/>
      <c r="K37" s="25"/>
      <c r="L37" s="25"/>
      <c r="M37" s="25"/>
      <c r="N37" s="25"/>
      <c r="O37" s="26">
        <v>1.0</v>
      </c>
      <c r="P37" s="25"/>
      <c r="Q37" s="25"/>
      <c r="R37" s="25"/>
      <c r="S37" s="25"/>
      <c r="T37" s="25"/>
      <c r="U37" s="25"/>
      <c r="V37" s="25"/>
      <c r="W37" s="26">
        <v>1.0</v>
      </c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3">
        <v>1.0</v>
      </c>
      <c r="BH37" s="14"/>
      <c r="BI37" s="14"/>
      <c r="BJ37" s="14"/>
      <c r="BK37" s="14"/>
      <c r="BL37" s="14"/>
      <c r="BM37" s="14"/>
      <c r="BN37" s="14"/>
      <c r="BO37" s="13">
        <v>1.0</v>
      </c>
      <c r="BP37" s="14"/>
      <c r="BQ37" s="13">
        <v>1.0</v>
      </c>
      <c r="BR37" s="13">
        <v>1.0</v>
      </c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3">
        <v>1.0</v>
      </c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</row>
    <row r="38">
      <c r="A38" s="17" t="str">
        <f>'168'!A38</f>
        <v>کوک </v>
      </c>
      <c r="B38" s="11">
        <f>'168'!B38</f>
        <v>1</v>
      </c>
      <c r="C38" s="12">
        <f t="shared" si="2"/>
        <v>5</v>
      </c>
      <c r="D38" s="25"/>
      <c r="E38" s="26"/>
      <c r="F38" s="26">
        <v>1.0</v>
      </c>
      <c r="G38" s="25"/>
      <c r="H38" s="25"/>
      <c r="I38" s="25"/>
      <c r="J38" s="25"/>
      <c r="K38" s="25"/>
      <c r="L38" s="25"/>
      <c r="M38" s="25"/>
      <c r="N38" s="25"/>
      <c r="O38" s="25"/>
      <c r="P38" s="26">
        <v>1.0</v>
      </c>
      <c r="Q38" s="25"/>
      <c r="R38" s="25"/>
      <c r="S38" s="25"/>
      <c r="T38" s="26">
        <v>1.0</v>
      </c>
      <c r="U38" s="25"/>
      <c r="V38" s="25"/>
      <c r="W38" s="26">
        <v>1.0</v>
      </c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6">
        <v>1.0</v>
      </c>
      <c r="AM38" s="25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</row>
    <row r="39">
      <c r="A39" s="17" t="str">
        <f>'168'!A39</f>
        <v>مری جین ۵سانت</v>
      </c>
      <c r="B39" s="11">
        <f>'168'!B39</f>
        <v>3</v>
      </c>
      <c r="C39" s="12">
        <f t="shared" si="2"/>
        <v>2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14"/>
      <c r="AO39" s="14"/>
      <c r="AP39" s="14"/>
      <c r="AQ39" s="13">
        <v>1.0</v>
      </c>
      <c r="AR39" s="14"/>
      <c r="AS39" s="14"/>
      <c r="AT39" s="14"/>
      <c r="AU39" s="14"/>
      <c r="AV39" s="14"/>
      <c r="AW39" s="14"/>
      <c r="AX39" s="14"/>
      <c r="AY39" s="14"/>
      <c r="AZ39" s="13">
        <v>1.0</v>
      </c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</row>
    <row r="40">
      <c r="A40" s="17" t="str">
        <f>'168'!A40</f>
        <v>مری جین ۲سانت</v>
      </c>
      <c r="B40" s="11">
        <f>'168'!B40</f>
        <v>2</v>
      </c>
      <c r="C40" s="12">
        <f t="shared" si="2"/>
        <v>1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14"/>
      <c r="AO40" s="14"/>
      <c r="AP40" s="14"/>
      <c r="AQ40" s="14"/>
      <c r="AR40" s="14"/>
      <c r="AS40" s="14"/>
      <c r="AT40" s="14"/>
      <c r="AU40" s="13">
        <v>1.0</v>
      </c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</row>
    <row r="41">
      <c r="A41" s="17" t="str">
        <f>'168'!A41</f>
        <v>نایک y2k</v>
      </c>
      <c r="B41" s="11">
        <f>'168'!B41</f>
        <v>6</v>
      </c>
      <c r="C41" s="12">
        <f t="shared" si="2"/>
        <v>13</v>
      </c>
      <c r="D41" s="25"/>
      <c r="E41" s="25"/>
      <c r="F41" s="25"/>
      <c r="G41" s="25"/>
      <c r="H41" s="25"/>
      <c r="I41" s="25"/>
      <c r="J41" s="25"/>
      <c r="K41" s="25"/>
      <c r="L41" s="25"/>
      <c r="M41" s="26">
        <v>1.0</v>
      </c>
      <c r="N41" s="26">
        <v>1.0</v>
      </c>
      <c r="O41" s="25"/>
      <c r="P41" s="26">
        <v>1.0</v>
      </c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6">
        <v>1.0</v>
      </c>
      <c r="AI41" s="25"/>
      <c r="AJ41" s="25"/>
      <c r="AK41" s="25"/>
      <c r="AL41" s="25"/>
      <c r="AM41" s="25"/>
      <c r="AN41" s="14"/>
      <c r="AO41" s="14"/>
      <c r="AP41" s="13">
        <v>1.0</v>
      </c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3">
        <v>1.0</v>
      </c>
      <c r="BH41" s="14"/>
      <c r="BI41" s="14"/>
      <c r="BJ41" s="13">
        <v>2.0</v>
      </c>
      <c r="BK41" s="14"/>
      <c r="BL41" s="13">
        <v>1.0</v>
      </c>
      <c r="BM41" s="13">
        <v>1.0</v>
      </c>
      <c r="BN41" s="14"/>
      <c r="BO41" s="14"/>
      <c r="BP41" s="14"/>
      <c r="BQ41" s="14"/>
      <c r="BR41" s="14"/>
      <c r="BS41" s="14"/>
      <c r="BT41" s="14"/>
      <c r="BU41" s="13">
        <v>1.0</v>
      </c>
      <c r="BV41" s="14"/>
      <c r="BW41" s="14"/>
      <c r="BX41" s="14"/>
      <c r="BY41" s="14"/>
      <c r="BZ41" s="13">
        <v>1.0</v>
      </c>
      <c r="CA41" s="13"/>
      <c r="CB41" s="14"/>
      <c r="CC41" s="13">
        <v>1.0</v>
      </c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</row>
    <row r="42">
      <c r="A42" s="17" t="str">
        <f>'168'!A42</f>
        <v>سامبا</v>
      </c>
      <c r="B42" s="11">
        <f>'168'!B42</f>
        <v>0</v>
      </c>
      <c r="C42" s="12">
        <f t="shared" si="2"/>
        <v>17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14"/>
      <c r="AO42" s="14"/>
      <c r="AP42" s="14"/>
      <c r="AQ42" s="14"/>
      <c r="AR42" s="14"/>
      <c r="AS42" s="14"/>
      <c r="AT42" s="14"/>
      <c r="AU42" s="13">
        <v>1.0</v>
      </c>
      <c r="AV42" s="13">
        <v>1.0</v>
      </c>
      <c r="AW42" s="14"/>
      <c r="AX42" s="13">
        <v>1.0</v>
      </c>
      <c r="AY42" s="14"/>
      <c r="AZ42" s="14"/>
      <c r="BA42" s="14"/>
      <c r="BB42" s="14"/>
      <c r="BC42" s="13">
        <v>1.0</v>
      </c>
      <c r="BD42" s="14"/>
      <c r="BE42" s="14"/>
      <c r="BF42" s="14"/>
      <c r="BG42" s="14"/>
      <c r="BH42" s="13">
        <v>1.0</v>
      </c>
      <c r="BI42" s="13">
        <v>1.0</v>
      </c>
      <c r="BJ42" s="13">
        <v>1.0</v>
      </c>
      <c r="BK42" s="14"/>
      <c r="BL42" s="13">
        <v>2.0</v>
      </c>
      <c r="BM42" s="14"/>
      <c r="BN42" s="14"/>
      <c r="BO42" s="13">
        <v>1.0</v>
      </c>
      <c r="BP42" s="14"/>
      <c r="BQ42" s="14"/>
      <c r="BR42" s="14"/>
      <c r="BS42" s="13">
        <v>1.0</v>
      </c>
      <c r="BT42" s="13">
        <v>1.0</v>
      </c>
      <c r="BU42" s="14"/>
      <c r="BV42" s="14"/>
      <c r="BW42" s="14"/>
      <c r="BX42" s="13">
        <v>1.0</v>
      </c>
      <c r="BY42" s="13">
        <v>1.0</v>
      </c>
      <c r="BZ42" s="14"/>
      <c r="CA42" s="14"/>
      <c r="CB42" s="14"/>
      <c r="CC42" s="14"/>
      <c r="CD42" s="14"/>
      <c r="CE42" s="13">
        <v>1.0</v>
      </c>
      <c r="CF42" s="14"/>
      <c r="CG42" s="13">
        <v>1.0</v>
      </c>
      <c r="CH42" s="14"/>
      <c r="CI42" s="14"/>
      <c r="CJ42" s="14"/>
      <c r="CK42" s="13">
        <v>1.0</v>
      </c>
      <c r="CL42" s="14"/>
      <c r="CM42" s="14"/>
      <c r="CN42" s="14"/>
      <c r="CO42" s="14"/>
      <c r="CP42" s="14"/>
      <c r="CQ42" s="14"/>
      <c r="CR42" s="14"/>
      <c r="CS42" s="14"/>
      <c r="CT42" s="14"/>
    </row>
    <row r="43">
      <c r="A43" s="17" t="str">
        <f>'168'!A43</f>
        <v>پوما</v>
      </c>
      <c r="B43" s="11">
        <f>'168'!B43</f>
        <v>0</v>
      </c>
      <c r="C43" s="12">
        <f t="shared" si="2"/>
        <v>13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14"/>
      <c r="AO43" s="14"/>
      <c r="AP43" s="14"/>
      <c r="AQ43" s="14"/>
      <c r="AR43" s="14"/>
      <c r="AS43" s="14"/>
      <c r="AT43" s="14"/>
      <c r="AU43" s="13">
        <v>4.0</v>
      </c>
      <c r="AV43" s="14"/>
      <c r="AW43" s="14"/>
      <c r="AX43" s="14"/>
      <c r="AY43" s="14"/>
      <c r="AZ43" s="14"/>
      <c r="BA43" s="13">
        <v>1.0</v>
      </c>
      <c r="BB43" s="14"/>
      <c r="BC43" s="13">
        <v>1.0</v>
      </c>
      <c r="BD43" s="14"/>
      <c r="BE43" s="14"/>
      <c r="BF43" s="14"/>
      <c r="BG43" s="13">
        <v>1.0</v>
      </c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3">
        <v>1.0</v>
      </c>
      <c r="BU43" s="14"/>
      <c r="BV43" s="13">
        <v>1.0</v>
      </c>
      <c r="BW43" s="14"/>
      <c r="BX43" s="14"/>
      <c r="BY43" s="14"/>
      <c r="BZ43" s="14"/>
      <c r="CA43" s="13">
        <v>1.0</v>
      </c>
      <c r="CB43" s="14"/>
      <c r="CC43" s="13">
        <v>2.0</v>
      </c>
      <c r="CD43" s="13">
        <v>1.0</v>
      </c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</row>
    <row r="44">
      <c r="A44" s="17" t="str">
        <f>'168'!A44</f>
        <v>کالج لارا پیانا</v>
      </c>
      <c r="B44" s="11">
        <f>'168'!B44</f>
        <v>6</v>
      </c>
      <c r="C44" s="12">
        <f t="shared" si="2"/>
        <v>15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14"/>
      <c r="AO44" s="14"/>
      <c r="AP44" s="14"/>
      <c r="AQ44" s="14"/>
      <c r="AR44" s="14"/>
      <c r="AS44" s="14"/>
      <c r="AT44" s="14"/>
      <c r="AU44" s="13">
        <v>2.0</v>
      </c>
      <c r="AV44" s="13">
        <v>1.0</v>
      </c>
      <c r="AW44" s="13">
        <v>1.0</v>
      </c>
      <c r="AX44" s="14"/>
      <c r="AY44" s="14"/>
      <c r="AZ44" s="13">
        <v>1.0</v>
      </c>
      <c r="BA44" s="14"/>
      <c r="BB44" s="14"/>
      <c r="BC44" s="14"/>
      <c r="BD44" s="14"/>
      <c r="BE44" s="13">
        <v>1.0</v>
      </c>
      <c r="BF44" s="14"/>
      <c r="BG44" s="14"/>
      <c r="BH44" s="14"/>
      <c r="BI44" s="14"/>
      <c r="BJ44" s="14"/>
      <c r="BK44" s="14"/>
      <c r="BL44" s="14"/>
      <c r="BM44" s="14"/>
      <c r="BN44" s="13">
        <v>1.0</v>
      </c>
      <c r="BO44" s="14"/>
      <c r="BP44" s="14"/>
      <c r="BQ44" s="14"/>
      <c r="BR44" s="14"/>
      <c r="BS44" s="13">
        <v>1.0</v>
      </c>
      <c r="BT44" s="13">
        <v>1.0</v>
      </c>
      <c r="BU44" s="14"/>
      <c r="BV44" s="13">
        <v>1.0</v>
      </c>
      <c r="BW44" s="13">
        <v>1.0</v>
      </c>
      <c r="BX44" s="14"/>
      <c r="BY44" s="13">
        <v>1.0</v>
      </c>
      <c r="BZ44" s="13"/>
      <c r="CA44" s="13">
        <v>1.0</v>
      </c>
      <c r="CB44" s="13">
        <v>1.0</v>
      </c>
      <c r="CC44" s="14"/>
      <c r="CD44" s="14"/>
      <c r="CE44" s="14"/>
      <c r="CF44" s="14"/>
      <c r="CG44" s="14"/>
      <c r="CH44" s="13">
        <v>1.0</v>
      </c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</row>
    <row r="45">
      <c r="A45" s="17" t="str">
        <f>'168'!A45</f>
        <v/>
      </c>
      <c r="B45" s="11">
        <f>'168'!B45</f>
        <v>0</v>
      </c>
      <c r="C45" s="12">
        <f t="shared" si="2"/>
        <v>0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3"/>
      <c r="BU45" s="14"/>
      <c r="BV45" s="13"/>
      <c r="BW45" s="14"/>
      <c r="BX45" s="14"/>
      <c r="BY45" s="14"/>
      <c r="BZ45" s="14"/>
      <c r="CA45" s="14"/>
      <c r="CB45" s="14"/>
      <c r="CC45" s="13"/>
      <c r="CD45" s="13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</row>
    <row r="46">
      <c r="A46" s="17" t="str">
        <f>'168'!A46</f>
        <v>پاشنه گوچی</v>
      </c>
      <c r="B46" s="11">
        <f>'168'!B46</f>
        <v>1</v>
      </c>
      <c r="C46" s="12">
        <f t="shared" si="2"/>
        <v>1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3">
        <v>1.0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</row>
    <row r="47">
      <c r="A47" s="17" t="str">
        <f>'168'!A47</f>
        <v>کتونی تیدا</v>
      </c>
      <c r="B47" s="11">
        <f>'168'!B47</f>
        <v>11</v>
      </c>
      <c r="C47" s="12">
        <f t="shared" si="2"/>
        <v>4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3">
        <v>1.0</v>
      </c>
      <c r="BU47" s="14"/>
      <c r="BV47" s="13">
        <v>1.0</v>
      </c>
      <c r="BW47" s="14"/>
      <c r="BX47" s="14"/>
      <c r="BY47" s="14"/>
      <c r="BZ47" s="14"/>
      <c r="CA47" s="13"/>
      <c r="CB47" s="13">
        <v>1.0</v>
      </c>
      <c r="CC47" s="14"/>
      <c r="CD47" s="14"/>
      <c r="CE47" s="14"/>
      <c r="CF47" s="14"/>
      <c r="CG47" s="14"/>
      <c r="CH47" s="14"/>
      <c r="CI47" s="13">
        <v>1.0</v>
      </c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</row>
    <row r="48">
      <c r="A48" s="17" t="str">
        <f>'168'!A48</f>
        <v>نایک LV</v>
      </c>
      <c r="B48" s="11">
        <f>'168'!B48</f>
        <v>2</v>
      </c>
      <c r="C48" s="12">
        <f t="shared" si="2"/>
        <v>2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3">
        <v>1.0</v>
      </c>
      <c r="BW48" s="14"/>
      <c r="BX48" s="14"/>
      <c r="BY48" s="14"/>
      <c r="BZ48" s="14"/>
      <c r="CA48" s="14"/>
      <c r="CB48" s="14"/>
      <c r="CC48" s="14"/>
      <c r="CD48" s="14"/>
      <c r="CE48" s="14"/>
      <c r="CF48" s="13">
        <v>1.0</v>
      </c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</row>
    <row r="49">
      <c r="A49" s="17" t="str">
        <f>'168'!A49</f>
        <v>جردن ساقدار</v>
      </c>
      <c r="B49" s="11">
        <f>'168'!B49</f>
        <v>3</v>
      </c>
      <c r="C49" s="12">
        <f t="shared" si="2"/>
        <v>1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3">
        <v>1.0</v>
      </c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</row>
    <row r="50">
      <c r="A50" s="17" t="str">
        <f>'168'!A50</f>
        <v>جردن۱</v>
      </c>
      <c r="B50" s="11">
        <f>'168'!B50</f>
        <v>11</v>
      </c>
      <c r="C50" s="12">
        <f t="shared" si="2"/>
        <v>0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</row>
    <row r="51">
      <c r="A51" s="17" t="str">
        <f>'168'!A51</f>
        <v>آگ بغل سگک</v>
      </c>
      <c r="B51" s="11">
        <f>'168'!B51</f>
        <v>18</v>
      </c>
      <c r="C51" s="12">
        <f t="shared" si="2"/>
        <v>1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3">
        <v>1.0</v>
      </c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</row>
    <row r="52">
      <c r="A52" s="17" t="str">
        <f>'168'!A52</f>
        <v>آگ پشت‌کش</v>
      </c>
      <c r="B52" s="11">
        <f>'168'!B52</f>
        <v>10</v>
      </c>
      <c r="C52" s="12">
        <f t="shared" si="2"/>
        <v>0</v>
      </c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</row>
    <row r="53">
      <c r="A53" s="17" t="str">
        <f>'168'!A53</f>
        <v>آگ آبرنگی</v>
      </c>
      <c r="B53" s="11">
        <f>'168'!B53</f>
        <v>16</v>
      </c>
      <c r="C53" s="12">
        <f t="shared" si="2"/>
        <v>0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</row>
    <row r="54">
      <c r="A54" s="17" t="str">
        <f>'168'!A54</f>
        <v>میومیو</v>
      </c>
      <c r="B54" s="11">
        <f>'168'!B54</f>
        <v>7</v>
      </c>
      <c r="C54" s="12">
        <f t="shared" si="2"/>
        <v>0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</row>
    <row r="55">
      <c r="A55" s="17" t="str">
        <f>'168'!A55</f>
        <v>زیره شیشه‌ای</v>
      </c>
      <c r="B55" s="11">
        <f>'168'!B55</f>
        <v>4</v>
      </c>
      <c r="C55" s="12">
        <f t="shared" si="2"/>
        <v>0</v>
      </c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</row>
    <row r="56">
      <c r="A56" s="17" t="str">
        <f>'168'!A56</f>
        <v>دکتر مارتین</v>
      </c>
      <c r="B56" s="11">
        <f>'168'!B56</f>
        <v>4</v>
      </c>
      <c r="C56" s="12">
        <f t="shared" si="2"/>
        <v>1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3">
        <v>1.0</v>
      </c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</row>
    <row r="57">
      <c r="A57" s="17" t="str">
        <f>'168'!A57</f>
        <v>نیم بوت دنیز</v>
      </c>
      <c r="B57" s="11">
        <f>'168'!B57</f>
        <v>4</v>
      </c>
      <c r="C57" s="12">
        <f t="shared" si="2"/>
        <v>1</v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3">
        <v>1.0</v>
      </c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</row>
    <row r="58">
      <c r="A58" s="17" t="str">
        <f>'168'!A58</f>
        <v>۲طرف کش سوگو پیام</v>
      </c>
      <c r="B58" s="11">
        <f>'168'!B58</f>
        <v>3</v>
      </c>
      <c r="C58" s="12">
        <f t="shared" si="2"/>
        <v>0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</row>
    <row r="59">
      <c r="A59" s="17" t="str">
        <f>'168'!A59</f>
        <v>بندی کشی پیام</v>
      </c>
      <c r="B59" s="11">
        <f>'168'!B59</f>
        <v>3</v>
      </c>
      <c r="C59" s="12">
        <f t="shared" si="2"/>
        <v>1</v>
      </c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3">
        <v>1.0</v>
      </c>
      <c r="CK59" s="14"/>
      <c r="CL59" s="14"/>
      <c r="CM59" s="14"/>
      <c r="CN59" s="14"/>
      <c r="CO59" s="14"/>
      <c r="CP59" s="14"/>
      <c r="CQ59" s="14"/>
      <c r="CR59" s="14"/>
      <c r="CS59" s="14"/>
      <c r="CT59" s="14"/>
    </row>
    <row r="60">
      <c r="A60" s="17" t="str">
        <f>'168'!A60</f>
        <v/>
      </c>
      <c r="B60" s="11">
        <f>'168'!B60</f>
        <v>0</v>
      </c>
      <c r="C60" s="12">
        <f t="shared" si="2"/>
        <v>0</v>
      </c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5"/>
    <col customWidth="1" min="2" max="2" width="5.25"/>
    <col customWidth="1" min="3" max="3" width="3.13"/>
    <col customWidth="1" min="4" max="4" width="3.88"/>
    <col customWidth="1" min="5" max="5" width="5.25"/>
    <col customWidth="1" min="6" max="6" width="5.63"/>
    <col customWidth="1" min="7" max="7" width="5.88"/>
    <col customWidth="1" min="8" max="8" width="6.63"/>
    <col customWidth="1" min="9" max="9" width="5.63"/>
    <col customWidth="1" min="10" max="10" width="6.25"/>
    <col customWidth="1" min="11" max="11" width="5.88"/>
    <col customWidth="1" min="12" max="12" width="5.13"/>
    <col customWidth="1" min="13" max="13" width="4.5"/>
  </cols>
  <sheetData>
    <row r="1">
      <c r="A1" s="19">
        <f>SUM(B2:Z100)
</f>
        <v>572</v>
      </c>
      <c r="B1" s="27" t="s">
        <v>61</v>
      </c>
      <c r="C1" s="27" t="s">
        <v>61</v>
      </c>
      <c r="D1" s="27" t="s">
        <v>61</v>
      </c>
      <c r="E1" s="27" t="s">
        <v>61</v>
      </c>
      <c r="F1" s="27" t="s">
        <v>61</v>
      </c>
      <c r="G1" s="27" t="s">
        <v>61</v>
      </c>
      <c r="H1" s="27" t="s">
        <v>61</v>
      </c>
      <c r="I1" s="27" t="s">
        <v>61</v>
      </c>
      <c r="J1" s="27" t="s">
        <v>61</v>
      </c>
      <c r="K1" s="27" t="s">
        <v>61</v>
      </c>
      <c r="L1" s="27" t="s">
        <v>61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7" t="str">
        <f>'168'!A3</f>
        <v>فندی رضا</v>
      </c>
      <c r="B2" s="27">
        <v>3.0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7" t="str">
        <f>'168'!A4</f>
        <v>هوتیک سه سگک رضا</v>
      </c>
      <c r="B3" s="27">
        <v>6.0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7" t="str">
        <f>'168'!A5</f>
        <v>هرمس تخت رضا</v>
      </c>
      <c r="B4" s="27">
        <v>8.0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7" t="str">
        <f>'168'!A6</f>
        <v>زارا جلو بسته رضا</v>
      </c>
      <c r="B5" s="27">
        <v>7.0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7" t="str">
        <f>'168'!A7</f>
        <v>دو سگک ویزون رضا</v>
      </c>
      <c r="B6" s="27">
        <v>1.0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7" t="str">
        <f>'168'!A9</f>
        <v>هرمس رکابدار پیام</v>
      </c>
      <c r="B7" s="27">
        <v>10.0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7" t="str">
        <f>'168'!A10</f>
        <v>هرمس چسبی پیام</v>
      </c>
      <c r="B8" s="27">
        <v>11.0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7" t="str">
        <f>'168'!A11</f>
        <v>سه بند زارا پیام</v>
      </c>
      <c r="B9" s="27">
        <v>12.0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7" t="str">
        <f>'168'!A12</f>
        <v>دو سگک زارا پیام</v>
      </c>
      <c r="B10" s="27">
        <v>12.0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7" t="str">
        <f>'168'!A8</f>
        <v>استرادیواریوس جلو بسته رضا</v>
      </c>
      <c r="B11" s="27">
        <v>7.0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7" t="str">
        <f>'168'!A13</f>
        <v>تک سگک پهن پیام</v>
      </c>
      <c r="B12" s="27">
        <v>10.0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7" t="str">
        <f>'168'!A14</f>
        <v>دو سگک قفل دار پیام</v>
      </c>
      <c r="B13" s="27">
        <v>2.0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7" t="str">
        <f>'168'!A15</f>
        <v>دو سگک زیره کنف پیام</v>
      </c>
      <c r="B14" s="27">
        <v>1.0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7" t="str">
        <f>'168'!A16</f>
        <v>کنفی لژ بلند پیام</v>
      </c>
      <c r="B15" s="27">
        <v>2.0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7" t="str">
        <f>'168'!A17</f>
        <v>دو سگک منگنه‌ای پیام</v>
      </c>
      <c r="B16" s="27">
        <v>8.0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7" t="str">
        <f>'168'!A18</f>
        <v>گیوه گیپوری پوریا</v>
      </c>
      <c r="B17" s="27">
        <v>2.0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7" t="str">
        <f>'168'!A19</f>
        <v>دو سگک جلو مربعی پوریا</v>
      </c>
      <c r="B18" s="27">
        <v>4.0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7" t="str">
        <f>'168'!A20</f>
        <v>میو میو پوریا</v>
      </c>
      <c r="B19" s="27">
        <v>3.0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7" t="str">
        <f>'168'!A21</f>
        <v>صندل جوکر پوریا</v>
      </c>
      <c r="B20" s="27">
        <v>2.0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7" t="str">
        <f>'168'!A22</f>
        <v>زارا لژ بزرگ پوریا</v>
      </c>
      <c r="B21" s="27">
        <v>1.0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7" t="str">
        <f>'168'!A23</f>
        <v>هرمس دور مچ مصطفی</v>
      </c>
      <c r="B22" s="27">
        <v>12.0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7" t="str">
        <f>'168'!A24</f>
        <v>سه چسب مصطفی</v>
      </c>
      <c r="B23" s="27">
        <v>7.0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7" t="str">
        <f>'168'!A25</f>
        <v>دوپایی ضربدری مصطفی</v>
      </c>
      <c r="B24" s="27">
        <v>2.0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7" t="str">
        <f>'168'!A26</f>
        <v>دمپایی دو چسب مصطفی</v>
      </c>
      <c r="B25" s="27">
        <v>4.0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7" t="str">
        <f>'168'!A27</f>
        <v>پاشنه شیشه‌ای</v>
      </c>
      <c r="B26" s="27">
        <v>7.0</v>
      </c>
      <c r="C26" s="18"/>
      <c r="D26" s="18"/>
      <c r="E26" s="18"/>
      <c r="F26" s="18"/>
      <c r="G26" s="18"/>
      <c r="H26" s="18"/>
      <c r="I26" s="27">
        <v>6.0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7" t="str">
        <f>'168'!A28</f>
        <v>پاشنه۵سانت دو سگک</v>
      </c>
      <c r="B27" s="27">
        <v>6.0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7" t="str">
        <f>'168'!A29</f>
        <v>پاشنه چوبی هرمس</v>
      </c>
      <c r="B28" s="27">
        <v>11.0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7" t="str">
        <f>'168'!A30</f>
        <v>کتونی مکویین</v>
      </c>
      <c r="B29" s="27">
        <v>7.0</v>
      </c>
      <c r="C29" s="18"/>
      <c r="D29" s="27">
        <v>5.0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7" t="str">
        <f>'168'!A31</f>
        <v>ونس یرفا</v>
      </c>
      <c r="B30" s="27">
        <v>4.0</v>
      </c>
      <c r="C30" s="18"/>
      <c r="D30" s="18"/>
      <c r="E30" s="27">
        <v>1.0</v>
      </c>
      <c r="F30" s="18"/>
      <c r="G30" s="18"/>
      <c r="H30" s="27">
        <v>8.0</v>
      </c>
      <c r="I30" s="18"/>
      <c r="J30" s="18"/>
      <c r="K30" s="18"/>
      <c r="L30" s="18"/>
      <c r="M30" s="27">
        <v>10.0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7" t="str">
        <f>'168'!A32</f>
        <v>کتونی زارا پوریا</v>
      </c>
      <c r="B31" s="27">
        <v>4.0</v>
      </c>
      <c r="C31" s="27">
        <v>5.0</v>
      </c>
      <c r="D31" s="18"/>
      <c r="E31" s="27">
        <v>5.0</v>
      </c>
      <c r="F31" s="18"/>
      <c r="G31" s="18"/>
      <c r="H31" s="18"/>
      <c r="I31" s="27">
        <v>9.0</v>
      </c>
      <c r="J31" s="18"/>
      <c r="K31" s="18"/>
      <c r="L31" s="18"/>
      <c r="M31" s="27">
        <v>5.0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7" t="str">
        <f>'168'!A33</f>
        <v>کتونی مرواریدی پوریا</v>
      </c>
      <c r="B32" s="27">
        <v>1.0</v>
      </c>
      <c r="C32" s="18"/>
      <c r="D32" s="18"/>
      <c r="E32" s="27">
        <v>5.0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7" t="str">
        <f>'168'!A34</f>
        <v>کتونی سلین پوریا</v>
      </c>
      <c r="B33" s="27">
        <v>6.0</v>
      </c>
      <c r="C33" s="27">
        <v>10.0</v>
      </c>
      <c r="D33" s="18"/>
      <c r="E33" s="18"/>
      <c r="F33" s="18"/>
      <c r="G33" s="18"/>
      <c r="H33" s="27">
        <v>5.0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7" t="str">
        <f>'168'!A35</f>
        <v>صندل کتونی بالنسیاگا</v>
      </c>
      <c r="B34" s="27">
        <v>3.0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7" t="str">
        <f>'168'!A36</f>
        <v>ونس برشکا ساده پیام</v>
      </c>
      <c r="B35" s="27">
        <v>6.0</v>
      </c>
      <c r="C35" s="18"/>
      <c r="D35" s="18"/>
      <c r="E35" s="18"/>
      <c r="F35" s="18"/>
      <c r="G35" s="18"/>
      <c r="H35" s="27">
        <v>20.0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7" t="str">
        <f>'168'!A37</f>
        <v>کتونی نیو بالانس پوریا</v>
      </c>
      <c r="B36" s="27">
        <v>1.0</v>
      </c>
      <c r="C36" s="27">
        <v>4.0</v>
      </c>
      <c r="D36" s="18"/>
      <c r="E36" s="27">
        <v>16.0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7" t="str">
        <f>'168'!A38</f>
        <v>کوک </v>
      </c>
      <c r="B37" s="27">
        <v>12.0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7" t="str">
        <f>'168'!A39</f>
        <v>مری جین ۵سانت</v>
      </c>
      <c r="B38" s="27">
        <v>8.0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7" t="str">
        <f>'168'!A40</f>
        <v>مری جین ۲سانت</v>
      </c>
      <c r="B39" s="27">
        <v>5.0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7" t="str">
        <f>'168'!A41</f>
        <v>نایک y2k</v>
      </c>
      <c r="B40" s="18"/>
      <c r="C40" s="27">
        <v>10.0</v>
      </c>
      <c r="D40" s="18"/>
      <c r="E40" s="18"/>
      <c r="F40" s="27">
        <v>15.0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7" t="str">
        <f>'168'!A42</f>
        <v>سامبا</v>
      </c>
      <c r="B41" s="18"/>
      <c r="C41" s="18"/>
      <c r="D41" s="18"/>
      <c r="E41" s="18"/>
      <c r="F41" s="18"/>
      <c r="G41" s="27">
        <v>10.0</v>
      </c>
      <c r="H41" s="18"/>
      <c r="I41" s="27">
        <v>10.0</v>
      </c>
      <c r="J41" s="18"/>
      <c r="K41" s="27">
        <v>10.0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7" t="str">
        <f>'168'!A43</f>
        <v>پوما</v>
      </c>
      <c r="B42" s="18"/>
      <c r="C42" s="18"/>
      <c r="D42" s="18"/>
      <c r="E42" s="18"/>
      <c r="F42" s="18"/>
      <c r="G42" s="27">
        <v>10.0</v>
      </c>
      <c r="H42" s="18"/>
      <c r="I42" s="27">
        <v>10.0</v>
      </c>
      <c r="J42" s="18"/>
      <c r="K42" s="27">
        <v>5.0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7" t="str">
        <f>'168'!A44</f>
        <v>کالج لارا پیانا</v>
      </c>
      <c r="B43" s="18"/>
      <c r="C43" s="18"/>
      <c r="D43" s="18"/>
      <c r="E43" s="18"/>
      <c r="F43" s="18"/>
      <c r="G43" s="27">
        <v>11.0</v>
      </c>
      <c r="H43" s="18"/>
      <c r="I43" s="18"/>
      <c r="J43" s="27">
        <v>6.0</v>
      </c>
      <c r="K43" s="27">
        <v>12.0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7" t="str">
        <f>'168'!A45</f>
        <v/>
      </c>
      <c r="B44" s="18"/>
      <c r="C44" s="18"/>
      <c r="D44" s="18"/>
      <c r="E44" s="18"/>
      <c r="F44" s="18"/>
      <c r="G44" s="18"/>
      <c r="H44" s="18"/>
      <c r="I44" s="27"/>
      <c r="J44" s="18"/>
      <c r="K44" s="27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7" t="str">
        <f>'168'!A46</f>
        <v>پاشنه گوچی</v>
      </c>
      <c r="B45" s="18"/>
      <c r="C45" s="18"/>
      <c r="D45" s="18"/>
      <c r="E45" s="18"/>
      <c r="F45" s="18"/>
      <c r="G45" s="18"/>
      <c r="H45" s="18"/>
      <c r="I45" s="18"/>
      <c r="J45" s="27">
        <v>6.0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7" t="str">
        <f>'168'!A47</f>
        <v>کتونی تیدا</v>
      </c>
      <c r="B46" s="18"/>
      <c r="C46" s="18"/>
      <c r="D46" s="18"/>
      <c r="E46" s="18"/>
      <c r="F46" s="18"/>
      <c r="G46" s="18"/>
      <c r="H46" s="18"/>
      <c r="I46" s="18"/>
      <c r="J46" s="27">
        <v>20.0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7" t="str">
        <f>'168'!A48</f>
        <v>نایک LV</v>
      </c>
      <c r="B47" s="18"/>
      <c r="C47" s="18"/>
      <c r="D47" s="18"/>
      <c r="E47" s="18"/>
      <c r="F47" s="18"/>
      <c r="G47" s="18"/>
      <c r="H47" s="18"/>
      <c r="I47" s="18"/>
      <c r="J47" s="27">
        <v>8.0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7" t="str">
        <f>'168'!A49</f>
        <v>جردن ساقدار</v>
      </c>
      <c r="B48" s="18"/>
      <c r="C48" s="18"/>
      <c r="D48" s="18"/>
      <c r="E48" s="18"/>
      <c r="F48" s="18"/>
      <c r="G48" s="18"/>
      <c r="H48" s="18"/>
      <c r="I48" s="18"/>
      <c r="J48" s="18"/>
      <c r="K48" s="27">
        <v>5.0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7" t="str">
        <f>'168'!A50</f>
        <v>جردن۱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27">
        <v>15.0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7" t="str">
        <f>'168'!A51</f>
        <v>آگ بغل سگک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27">
        <v>20.0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7" t="str">
        <f>'168'!A52</f>
        <v>آگ پشت‌کش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27">
        <v>10.0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7" t="str">
        <f>'168'!A53</f>
        <v>آگ آبرنگی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27">
        <v>16.0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7" t="str">
        <f>'168'!A54</f>
        <v>میومیو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27">
        <v>8.0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7" t="str">
        <f>'168'!A55</f>
        <v>زیره شیشه‌ای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27">
        <v>4.0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7" t="str">
        <f>'168'!A56</f>
        <v>دکتر مارتین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27">
        <v>5.0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7" t="str">
        <f>'168'!A57</f>
        <v>نیم بوت دنیز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27">
        <v>5.0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7" t="str">
        <f>'168'!A58</f>
        <v>۲طرف کش سوگو پیام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7">
        <v>4.0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7" t="str">
        <f>'168'!A59</f>
        <v>بندی کشی پیام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7">
        <v>5.0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7" t="str">
        <f>'168'!A60</f>
        <v/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7" t="str">
        <f>'168'!A61</f>
        <v/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7" t="str">
        <f>'168'!A62</f>
        <v/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7" t="str">
        <f>'168'!A63</f>
        <v/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7" t="str">
        <f>'168'!A64</f>
        <v/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7" t="str">
        <f>'168'!A65</f>
        <v/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7" t="str">
        <f>'168'!A66</f>
        <v/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7" t="str">
        <f>'168'!A67</f>
        <v/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7" t="str">
        <f>'168'!A68</f>
        <v/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7" t="str">
        <f>'168'!A69</f>
        <v/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7" t="str">
        <f>'168'!A70</f>
        <v/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7" t="str">
        <f>'168'!A71</f>
        <v/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7" t="str">
        <f>'168'!A72</f>
        <v/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